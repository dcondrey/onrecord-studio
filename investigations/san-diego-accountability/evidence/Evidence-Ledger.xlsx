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Model inputs" sheetId="2" state="visible" r:id="rId2"/>
    <sheet xmlns:r="http://schemas.openxmlformats.org/officeDocument/2006/relationships" name="Model calculations" sheetId="3" state="visible" r:id="rId3"/>
    <sheet xmlns:r="http://schemas.openxmlformats.org/officeDocument/2006/relationships" name="Price cases" sheetId="4" state="visible" r:id="rId4"/>
    <sheet xmlns:r="http://schemas.openxmlformats.org/officeDocument/2006/relationships" name="Funding cases" sheetId="5" state="visible" r:id="rId5"/>
    <sheet xmlns:r="http://schemas.openxmlformats.org/officeDocument/2006/relationships" name="Claims and exhibits" sheetId="6" state="visible" r:id="rId6"/>
    <sheet xmlns:r="http://schemas.openxmlformats.org/officeDocument/2006/relationships" name="Source locators" sheetId="7" state="visible" r:id="rId7"/>
    <sheet xmlns:r="http://schemas.openxmlformats.org/officeDocument/2006/relationships" name="Sources" sheetId="8" state="visible" r:id="rId8"/>
    <sheet xmlns:r="http://schemas.openxmlformats.org/officeDocument/2006/relationships" name="Invoice AP bridge" sheetId="9" state="visible" r:id="rId9"/>
    <sheet xmlns:r="http://schemas.openxmlformats.org/officeDocument/2006/relationships" name="Source dependence" sheetId="10" state="visible" r:id="rId10"/>
    <sheet xmlns:r="http://schemas.openxmlformats.org/officeDocument/2006/relationships" name="Implementation register" sheetId="11" state="visible" r:id="rId11"/>
    <sheet xmlns:r="http://schemas.openxmlformats.org/officeDocument/2006/relationships" name="November formula audit" sheetId="12" state="visible" r:id="rId12"/>
    <sheet xmlns:r="http://schemas.openxmlformats.org/officeDocument/2006/relationships" name="Outcome sensitivity" sheetId="13" state="visible" r:id="rId13"/>
    <sheet xmlns:r="http://schemas.openxmlformats.org/officeDocument/2006/relationships" name="Evidence stress test" sheetId="14" state="visible" r:id="rId14"/>
  </sheets>
  <definedNames>
    <definedName name="_xlnm._FilterDatabase" localSheetId="0" hidden="1">'Read first'!$A$1:$B$9</definedName>
    <definedName name="_xlnm._FilterDatabase" localSheetId="1" hidden="1">'Model inputs'!$A$1:$C$19</definedName>
    <definedName name="_xlnm._FilterDatabase" localSheetId="2" hidden="1">'Model calculations'!$A$1:$D$13</definedName>
    <definedName name="_xlnm._FilterDatabase" localSheetId="3" hidden="1">'Price cases'!$A$1:$F$7</definedName>
    <definedName name="_xlnm._FilterDatabase" localSheetId="4" hidden="1">'Funding cases'!$A$1:$E$4</definedName>
    <definedName name="_xlnm._FilterDatabase" localSheetId="5" hidden="1">'Claims and exhibits'!$A$1:$D$85</definedName>
    <definedName name="_xlnm._FilterDatabase" localSheetId="6" hidden="1">'Source locators'!$A$1:$D$356</definedName>
    <definedName name="_xlnm._FilterDatabase" localSheetId="7" hidden="1">'Sources'!$A$1:$E$279</definedName>
    <definedName name="_xlnm._FilterDatabase" localSheetId="8" hidden="1">'Invoice AP bridge'!$A$1:$D$13</definedName>
    <definedName name="_xlnm._FilterDatabase" localSheetId="9" hidden="1">'Source dependence'!$A$1:$D$10</definedName>
    <definedName name="_xlnm._FilterDatabase" localSheetId="10" hidden="1">'Implementation register'!$A$1:$I$11</definedName>
    <definedName name="_xlnm._FilterDatabase" localSheetId="11" hidden="1">'November formula audit'!$A$1:$D$35</definedName>
    <definedName name="_xlnm._FilterDatabase" localSheetId="12" hidden="1">'Outcome sensitivity'!$A$1:$F$10</definedName>
    <definedName name="_xlnm._FilterDatabase" localSheetId="13" hidden="1">'Evidence stress test'!$A$1:$F$11</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20333B"/>
      <sz val="11"/>
    </font>
    <font>
      <name val="Calibri"/>
      <b val="1"/>
      <color rgb="00FFFFFF"/>
      <sz val="11"/>
    </font>
    <font>
      <name val="Calibri"/>
      <color rgb="0020333B"/>
      <sz val="11"/>
    </font>
  </fonts>
  <fills count="5">
    <fill>
      <patternFill/>
    </fill>
    <fill>
      <patternFill patternType="gray125"/>
    </fill>
    <fill>
      <patternFill patternType="solid">
        <fgColor rgb="0020333B"/>
      </patternFill>
    </fill>
    <fill>
      <patternFill patternType="solid">
        <fgColor rgb="00F0F1F1"/>
      </patternFill>
    </fill>
    <fill>
      <patternFill patternType="solid">
        <fgColor rgb="00FFF0D9"/>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ht="30" customHeight="1">
      <c r="A1" s="1" t="inlineStr">
        <is>
          <t>Item</t>
        </is>
      </c>
      <c r="B1" s="1" t="inlineStr">
        <is>
          <t>Meaning</t>
        </is>
      </c>
    </row>
    <row r="2" ht="30" customHeight="1">
      <c r="A2" s="2" t="inlineStr">
        <is>
          <t>Author / funding</t>
        </is>
      </c>
      <c r="B2" s="2" t="inlineStr">
        <is>
          <t>David L. Condrey; david@writerslogic.com; self-funded.</t>
        </is>
      </c>
    </row>
    <row r="3" ht="30" customHeight="1">
      <c r="A3" s="3" t="inlineStr">
        <is>
          <t>Report identifier</t>
        </is>
      </c>
      <c r="B3" s="3" t="inlineStr">
        <is>
          <t>SDHA-2026-01; version 1.3; unpublished expanded revision. Prior version 1.2: https://doi.org/10.5281/zenodo.23405739.</t>
        </is>
      </c>
    </row>
    <row r="4" ht="130.5" customHeight="1">
      <c r="A4" s="2" t="inlineStr">
        <is>
          <t>Reuse</t>
        </is>
      </c>
      <c r="B4" s="2" t="inlineStr">
        <is>
          <t>© 2026 David L. Condrey. Original report text, original figures and original analytical contributions are licensed under Creative Commons Attribution 4.0 International (CC BY 4.0). Give appropriate credit, link to the license and indicate changes. Cited source records, source excerpts, third-party images and other third-party material retain their own rights and status. No rights are asserted in public-domain material. Software with a separate license retains that license. https://creativecommons.org/licenses/by/4.0/</t>
        </is>
      </c>
    </row>
    <row r="5" ht="36.5" customHeight="1">
      <c r="A5" s="3" t="inlineStr">
        <is>
          <t>Current decision</t>
        </is>
      </c>
      <c r="B5" s="3" t="inlineStr">
        <is>
          <t>Policy direction and humane funding standards; Day 30 inventory / Day 60 costed options / separate funded readiness decision / launch +180 review.</t>
        </is>
      </c>
    </row>
    <row r="6" ht="30" customHeight="1">
      <c r="A6" s="2" t="inlineStr">
        <is>
          <t>Financial status</t>
        </is>
      </c>
      <c r="B6" s="2" t="inlineStr">
        <is>
          <t>$2.2m is a comparison ceiling, not an available Police balance, approved appropriation, net saving or housing forecast.</t>
        </is>
      </c>
    </row>
    <row r="7" ht="35" customHeight="1">
      <c r="A7" s="3" t="inlineStr">
        <is>
          <t>Model</t>
        </is>
      </c>
      <c r="B7" s="3" t="inlineStr">
        <is>
          <t>Agency October 2025 compensation prices; operating, setup and review allowances are assumptions. Checked values accompany editable formulas.</t>
        </is>
      </c>
    </row>
    <row r="8" ht="41.75" customHeight="1">
      <c r="A8" s="2" t="inlineStr">
        <is>
          <t>Humane treatment</t>
        </is>
      </c>
      <c r="B8" s="2" t="inlineStr">
        <is>
          <t>All teams subject to dignity, communication, access, continuity and recourse standards. No representative operation-level participant-experience baseline was acquired.</t>
        </is>
      </c>
    </row>
    <row r="9" ht="30" customHeight="1">
      <c r="A9" s="3" t="inlineStr">
        <is>
          <t>Files</t>
        </is>
      </c>
      <c r="B9" s="3" t="inlineStr">
        <is>
          <t>Source manifest maps extracts to physical original pages; included-source hashes and parent hashes are distinct.</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44" customWidth="1" min="1" max="1"/>
    <col width="30" customWidth="1" min="2" max="2"/>
    <col width="100" customWidth="1" min="3" max="3"/>
  </cols>
  <sheetData>
    <row r="1" ht="30" customHeight="1">
      <c r="A1" s="1" t="inlineStr">
        <is>
          <t>Input</t>
        </is>
      </c>
      <c r="B1" s="1" t="inlineStr">
        <is>
          <t>Value</t>
        </is>
      </c>
      <c r="C1" s="1" t="inlineStr">
        <is>
          <t>Units / basis</t>
        </is>
      </c>
    </row>
    <row r="2" ht="30" customHeight="1">
      <c r="A2" s="2" t="inlineStr">
        <is>
          <t>OSS count</t>
        </is>
      </c>
      <c r="B2" s="4" t="n">
        <v>4</v>
      </c>
      <c r="C2" s="2" t="inlineStr">
        <is>
          <t>Processing staff; assumption</t>
        </is>
      </c>
    </row>
    <row r="3" ht="30" customHeight="1">
      <c r="A3" s="3" t="inlineStr">
        <is>
          <t>Analyst count</t>
        </is>
      </c>
      <c r="B3" s="4" t="n">
        <v>1</v>
      </c>
      <c r="C3" s="3" t="inlineStr">
        <is>
          <t>Supervision / quality; no processing credit</t>
        </is>
      </c>
    </row>
    <row r="4" ht="30" customHeight="1">
      <c r="A4" s="2" t="inlineStr">
        <is>
          <t>OSS compensation</t>
        </is>
      </c>
      <c r="B4" s="4" t="n">
        <v>100302</v>
      </c>
      <c r="C4" s="2" t="inlineStr">
        <is>
          <t>Annual dollars; SDPD October 2025, BK23 p10</t>
        </is>
      </c>
    </row>
    <row r="5" ht="30" customHeight="1">
      <c r="A5" s="3" t="inlineStr">
        <is>
          <t>Analyst compensation</t>
        </is>
      </c>
      <c r="B5" s="4" t="n">
        <v>158185</v>
      </c>
      <c r="C5" s="3" t="inlineStr">
        <is>
          <t>Annual dollars; same source</t>
        </is>
      </c>
    </row>
    <row r="6" ht="30" customHeight="1">
      <c r="A6" s="2" t="inlineStr">
        <is>
          <t>Operations per staff</t>
        </is>
      </c>
      <c r="B6" s="4" t="n">
        <v>5000</v>
      </c>
      <c r="C6" s="2" t="inlineStr">
        <is>
          <t>Annual dollars / assumption</t>
        </is>
      </c>
    </row>
    <row r="7" ht="30" customHeight="1">
      <c r="A7" s="3" t="inlineStr">
        <is>
          <t>Startup</t>
        </is>
      </c>
      <c r="B7" s="4" t="n">
        <v>50000</v>
      </c>
      <c r="C7" s="3" t="inlineStr">
        <is>
          <t>First-year dollars / assumption</t>
        </is>
      </c>
    </row>
    <row r="8" ht="30" customHeight="1">
      <c r="A8" s="2" t="inlineStr">
        <is>
          <t>Independent review allowance</t>
        </is>
      </c>
      <c r="B8" s="4" t="n">
        <v>30000</v>
      </c>
      <c r="C8" s="2" t="inlineStr">
        <is>
          <t>First-year dollars / allowance, not bid</t>
        </is>
      </c>
    </row>
    <row r="9" ht="30" customHeight="1">
      <c r="A9" s="3" t="inlineStr">
        <is>
          <t>Desk/review/reserve ceiling</t>
        </is>
      </c>
      <c r="B9" s="4" t="n">
        <v>700000</v>
      </c>
      <c r="C9" s="3" t="inlineStr">
        <is>
          <t>Policy dollars</t>
        </is>
      </c>
    </row>
    <row r="10" ht="30" customHeight="1">
      <c r="A10" s="2" t="inlineStr">
        <is>
          <t>Provider envelope</t>
        </is>
      </c>
      <c r="B10" s="4" t="n">
        <v>250000</v>
      </c>
      <c r="C10" s="2" t="inlineStr">
        <is>
          <t>Annual policy dollars; scope not quoted</t>
        </is>
      </c>
    </row>
    <row r="11" ht="30" customHeight="1">
      <c r="A11" s="3" t="inlineStr">
        <is>
          <t>Assistance envelope</t>
        </is>
      </c>
      <c r="B11" s="4" t="n">
        <v>500000</v>
      </c>
      <c r="C11" s="3" t="inlineStr">
        <is>
          <t>Annual policy dollars</t>
        </is>
      </c>
    </row>
    <row r="12" ht="30" customHeight="1">
      <c r="A12" s="2" t="inlineStr">
        <is>
          <t>Sanitation envelope</t>
        </is>
      </c>
      <c r="B12" s="4" t="n">
        <v>750000</v>
      </c>
      <c r="C12" s="2" t="inlineStr">
        <is>
          <t>Annual policy dollars; current quote absent</t>
        </is>
      </c>
    </row>
    <row r="13" ht="30" customHeight="1">
      <c r="A13" s="3" t="inlineStr">
        <is>
          <t>Total comparison ceiling</t>
        </is>
      </c>
      <c r="B13" s="4" t="n">
        <v>2200000</v>
      </c>
      <c r="C13" s="3" t="inlineStr">
        <is>
          <t>Annual policy dollars</t>
        </is>
      </c>
    </row>
    <row r="14" ht="30" customHeight="1">
      <c r="A14" s="2" t="inlineStr">
        <is>
          <t>Compensation price multiplier</t>
        </is>
      </c>
      <c r="B14" s="4" t="n">
        <v>1</v>
      </c>
      <c r="C14" s="2" t="inlineStr">
        <is>
          <t>Sensitivity</t>
        </is>
      </c>
    </row>
    <row r="15" ht="30" customHeight="1">
      <c r="A15" s="3" t="inlineStr">
        <is>
          <t>Minutes per processing job</t>
        </is>
      </c>
      <c r="B15" s="4" t="n">
        <v>10</v>
      </c>
      <c r="C15" s="3" t="inlineStr">
        <is>
          <t>Unmeasured assumption</t>
        </is>
      </c>
    </row>
    <row r="16" ht="30" customHeight="1">
      <c r="A16" s="2" t="inlineStr">
        <is>
          <t>Productive hours per OSS</t>
        </is>
      </c>
      <c r="B16" s="4" t="n">
        <v>1600</v>
      </c>
      <c r="C16" s="2" t="inlineStr">
        <is>
          <t>Annual assumption</t>
        </is>
      </c>
    </row>
    <row r="17" ht="30" customHeight="1">
      <c r="A17" s="3" t="inlineStr">
        <is>
          <t>Raw FY2026 GID reports</t>
        </is>
      </c>
      <c r="B17" s="4" t="n">
        <v>43758</v>
      </c>
      <c r="C17" s="3" t="inlineStr">
        <is>
          <t>Reports, not people</t>
        </is>
      </c>
    </row>
    <row r="18" ht="30" customHeight="1">
      <c r="A18" s="2" t="inlineStr">
        <is>
          <t>Parent-linked FY2026 reports</t>
        </is>
      </c>
      <c r="B18" s="4" t="n">
        <v>13257</v>
      </c>
      <c r="C18" s="2" t="inlineStr">
        <is>
          <t>Reports; not a no-work rule</t>
        </is>
      </c>
    </row>
    <row r="19" ht="30" customHeight="1">
      <c r="A19" s="3" t="inlineStr">
        <is>
          <t>Assistance package cap</t>
        </is>
      </c>
      <c r="B19" s="4" t="n">
        <v>10000</v>
      </c>
      <c r="C19" s="3" t="inlineStr">
        <is>
          <t>Policy dollars / funding unit, not placement</t>
        </is>
      </c>
    </row>
  </sheetData>
  <autoFilter ref="A1:C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 width="28" customWidth="1" min="3" max="3"/>
    <col width="100" customWidth="1" min="4" max="4"/>
  </cols>
  <sheetData>
    <row r="1" ht="30" customHeight="1">
      <c r="A1" s="1" t="inlineStr">
        <is>
          <t>Calculation</t>
        </is>
      </c>
      <c r="B1" s="1" t="inlineStr">
        <is>
          <t>Formula</t>
        </is>
      </c>
      <c r="C1" s="1" t="inlineStr">
        <is>
          <t>Checked value</t>
        </is>
      </c>
      <c r="D1" s="1" t="inlineStr">
        <is>
          <t>Meaning</t>
        </is>
      </c>
    </row>
    <row r="2" ht="30" customHeight="1">
      <c r="A2" s="2" t="inlineStr">
        <is>
          <t>Compensation</t>
        </is>
      </c>
      <c r="B2" s="2">
        <f>('Model inputs'!B2*'Model inputs'!B4+'Model inputs'!B3*'Model inputs'!B5)*'Model inputs'!B14</f>
        <v/>
      </c>
      <c r="C2" s="2" t="n">
        <v>559393</v>
      </c>
      <c r="D2" s="2" t="inlineStr">
        <is>
          <t>Annual dollars</t>
        </is>
      </c>
    </row>
    <row r="3" ht="30" customHeight="1">
      <c r="A3" s="3" t="inlineStr">
        <is>
          <t>Operations</t>
        </is>
      </c>
      <c r="B3" s="3">
        <f>('Model inputs'!B2+'Model inputs'!B3)*'Model inputs'!B6</f>
        <v/>
      </c>
      <c r="C3" s="3" t="n">
        <v>25000</v>
      </c>
      <c r="D3" s="3" t="inlineStr">
        <is>
          <t>Annual dollars</t>
        </is>
      </c>
    </row>
    <row r="4" ht="30" customHeight="1">
      <c r="A4" s="2" t="inlineStr">
        <is>
          <t>Staffing + first-year startup</t>
        </is>
      </c>
      <c r="B4" s="2">
        <f>B2+B3+'Model inputs'!B7</f>
        <v/>
      </c>
      <c r="C4" s="2" t="n">
        <v>634393</v>
      </c>
      <c r="D4" s="2" t="inlineStr">
        <is>
          <t>First-year dollars</t>
        </is>
      </c>
    </row>
    <row r="5" ht="30" customHeight="1">
      <c r="A5" s="3" t="inlineStr">
        <is>
          <t>Add first-year independent review</t>
        </is>
      </c>
      <c r="B5" s="3">
        <f>B4+'Model inputs'!B8</f>
        <v/>
      </c>
      <c r="C5" s="3" t="n">
        <v>664393</v>
      </c>
      <c r="D5" s="3" t="inlineStr">
        <is>
          <t>First-year dollars</t>
        </is>
      </c>
    </row>
    <row r="6" ht="30" customHeight="1">
      <c r="A6" s="2" t="inlineStr">
        <is>
          <t>Uncommitted desk balance</t>
        </is>
      </c>
      <c r="B6" s="2">
        <f>'Model inputs'!B9-B5</f>
        <v/>
      </c>
      <c r="C6" s="2" t="n">
        <v>35607</v>
      </c>
      <c r="D6" s="2" t="inlineStr">
        <is>
          <t>Negative means cap fails</t>
        </is>
      </c>
    </row>
    <row r="7" ht="30" customHeight="1">
      <c r="A7" s="3" t="inlineStr">
        <is>
          <t>Recurring desk</t>
        </is>
      </c>
      <c r="B7" s="3">
        <f>B2+B3</f>
        <v/>
      </c>
      <c r="C7" s="3" t="n">
        <v>584393</v>
      </c>
      <c r="D7" s="3" t="inlineStr">
        <is>
          <t>Startup / first review excluded</t>
        </is>
      </c>
    </row>
    <row r="8" ht="30" customHeight="1">
      <c r="A8" s="2" t="inlineStr">
        <is>
          <t>Full first-year screen before reserve</t>
        </is>
      </c>
      <c r="B8" s="2">
        <f>B5+SUM('Model inputs'!B10:B12)</f>
        <v/>
      </c>
      <c r="C8" s="2" t="n">
        <v>2164393</v>
      </c>
      <c r="D8" s="2" t="inlineStr">
        <is>
          <t>Service envelopes assumed fully used</t>
        </is>
      </c>
    </row>
    <row r="9" ht="30" customHeight="1">
      <c r="A9" s="3" t="inlineStr">
        <is>
          <t>Full recurring screen before any renewed review</t>
        </is>
      </c>
      <c r="B9" s="3">
        <f>B7+SUM('Model inputs'!B10:B12)</f>
        <v/>
      </c>
      <c r="C9" s="3" t="n">
        <v>2084393</v>
      </c>
      <c r="D9" s="3" t="inlineStr">
        <is>
          <t>Not a current price or actual expenditure</t>
        </is>
      </c>
    </row>
    <row r="10" ht="30" customHeight="1">
      <c r="A10" s="2" t="inlineStr">
        <is>
          <t>Candidate ceiling balance</t>
        </is>
      </c>
      <c r="B10" s="2">
        <f>'Model inputs'!B13-SUM('Model inputs'!B9:B12)</f>
        <v/>
      </c>
      <c r="C10" s="2" t="n">
        <v>0</v>
      </c>
      <c r="D10" s="2" t="inlineStr">
        <is>
          <t>Must be zero for the illustrated envelope</t>
        </is>
      </c>
    </row>
    <row r="11" ht="30" customHeight="1">
      <c r="A11" s="3" t="inlineStr">
        <is>
          <t>Processing capacity</t>
        </is>
      </c>
      <c r="B11" s="3">
        <f>'Model inputs'!B2*'Model inputs'!B16*60/'Model inputs'!B15</f>
        <v/>
      </c>
      <c r="C11" s="3" t="n">
        <v>38400</v>
      </c>
      <c r="D11" s="3" t="inlineStr">
        <is>
          <t>Annual processing jobs / model</t>
        </is>
      </c>
    </row>
    <row r="12" ht="30" customHeight="1">
      <c r="A12" s="2" t="inlineStr">
        <is>
          <t>Parent-excluded screen</t>
        </is>
      </c>
      <c r="B12" s="2">
        <f>'Model inputs'!B17-'Model inputs'!B18</f>
        <v/>
      </c>
      <c r="C12" s="2" t="n">
        <v>30501</v>
      </c>
      <c r="D12" s="2" t="inlineStr">
        <is>
          <t>Sensitivity only</t>
        </is>
      </c>
    </row>
    <row r="13" ht="30" customHeight="1">
      <c r="A13" s="3" t="inlineStr">
        <is>
          <t>Complete assistance packages</t>
        </is>
      </c>
      <c r="B13" s="3">
        <f>ROUNDDOWN('Model inputs'!B11/'Model inputs'!B19,0)</f>
        <v/>
      </c>
      <c r="C13" s="3" t="n">
        <v>50</v>
      </c>
      <c r="D13" s="3" t="inlineStr">
        <is>
          <t>Not housing placements</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32" customWidth="1" min="4" max="4"/>
    <col width="32" customWidth="1" min="5" max="5"/>
    <col width="32" customWidth="1" min="6" max="6"/>
  </cols>
  <sheetData>
    <row r="1" ht="30" customHeight="1">
      <c r="A1" s="1" t="inlineStr">
        <is>
          <t>OSS</t>
        </is>
      </c>
      <c r="B1" s="1" t="inlineStr">
        <is>
          <t>Analyst</t>
        </is>
      </c>
      <c r="C1" s="1" t="inlineStr">
        <is>
          <t>Comp multiplier</t>
        </is>
      </c>
      <c r="D1" s="1" t="inlineStr">
        <is>
          <t>First-year staffing</t>
        </is>
      </c>
      <c r="E1" s="1" t="inlineStr">
        <is>
          <t>Including review</t>
        </is>
      </c>
      <c r="F1" s="1" t="inlineStr">
        <is>
          <t>Balance at $700k</t>
        </is>
      </c>
    </row>
    <row r="2" ht="30" customHeight="1">
      <c r="A2" s="2" t="n">
        <v>3</v>
      </c>
      <c r="B2" s="2" t="n">
        <v>1</v>
      </c>
      <c r="C2" s="2" t="n">
        <v>1</v>
      </c>
      <c r="D2" s="2" t="n">
        <v>529091</v>
      </c>
      <c r="E2" s="2" t="n">
        <v>559091</v>
      </c>
      <c r="F2" s="2" t="n">
        <v>140909</v>
      </c>
    </row>
    <row r="3" ht="30" customHeight="1">
      <c r="A3" s="3" t="n">
        <v>3</v>
      </c>
      <c r="B3" s="3" t="n">
        <v>1</v>
      </c>
      <c r="C3" s="3" t="n">
        <v>1.25</v>
      </c>
      <c r="D3" s="3" t="n">
        <v>643863.75</v>
      </c>
      <c r="E3" s="3" t="n">
        <v>673863.75</v>
      </c>
      <c r="F3" s="3" t="n">
        <v>26136.25</v>
      </c>
    </row>
    <row r="4" ht="30" customHeight="1">
      <c r="A4" s="2" t="n">
        <v>4</v>
      </c>
      <c r="B4" s="2" t="n">
        <v>1</v>
      </c>
      <c r="C4" s="2" t="n">
        <v>1</v>
      </c>
      <c r="D4" s="2" t="n">
        <v>634393</v>
      </c>
      <c r="E4" s="2" t="n">
        <v>664393</v>
      </c>
      <c r="F4" s="2" t="n">
        <v>35607</v>
      </c>
    </row>
    <row r="5" ht="30" customHeight="1">
      <c r="A5" s="3" t="n">
        <v>4</v>
      </c>
      <c r="B5" s="3" t="n">
        <v>1</v>
      </c>
      <c r="C5" s="3" t="n">
        <v>1.25</v>
      </c>
      <c r="D5" s="3" t="n">
        <v>774241.25</v>
      </c>
      <c r="E5" s="3" t="n">
        <v>804241.25</v>
      </c>
      <c r="F5" s="3" t="n">
        <v>-104241.25</v>
      </c>
    </row>
    <row r="6" ht="30" customHeight="1">
      <c r="A6" s="2" t="n">
        <v>5</v>
      </c>
      <c r="B6" s="2" t="n">
        <v>1</v>
      </c>
      <c r="C6" s="2" t="n">
        <v>1</v>
      </c>
      <c r="D6" s="2" t="n">
        <v>739695</v>
      </c>
      <c r="E6" s="2" t="n">
        <v>769695</v>
      </c>
      <c r="F6" s="2" t="n">
        <v>-69695</v>
      </c>
    </row>
    <row r="7" ht="30" customHeight="1">
      <c r="A7" s="3" t="n">
        <v>5</v>
      </c>
      <c r="B7" s="3" t="n">
        <v>1</v>
      </c>
      <c r="C7" s="3" t="n">
        <v>1.25</v>
      </c>
      <c r="D7" s="3" t="n">
        <v>904618.75</v>
      </c>
      <c r="E7" s="3" t="n">
        <v>934618.75</v>
      </c>
      <c r="F7" s="3" t="n">
        <v>-234618.75</v>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45" customWidth="1" min="1" max="1"/>
    <col width="28" customWidth="1" min="2" max="2"/>
    <col width="28" customWidth="1" min="3" max="3"/>
    <col width="28" customWidth="1" min="4" max="4"/>
    <col width="40" customWidth="1" min="5" max="5"/>
  </cols>
  <sheetData>
    <row r="1" ht="30" customHeight="1">
      <c r="A1" s="1" t="inlineStr">
        <is>
          <t>Hypothetical case</t>
        </is>
      </c>
      <c r="B1" s="1" t="inlineStr">
        <is>
          <t>Police reduction</t>
        </is>
      </c>
      <c r="C1" s="1" t="inlineStr">
        <is>
          <t>Other funding</t>
        </is>
      </c>
      <c r="D1" s="1" t="inlineStr">
        <is>
          <t>Civilian cap</t>
        </is>
      </c>
      <c r="E1" s="1" t="inlineStr">
        <is>
          <t>Unfunded gap before extra backfill</t>
        </is>
      </c>
    </row>
    <row r="2" ht="30" customHeight="1">
      <c r="A2" s="2" t="inlineStr">
        <is>
          <t>Redeployment only</t>
        </is>
      </c>
      <c r="B2" s="2" t="n">
        <v>0</v>
      </c>
      <c r="C2" s="2" t="n">
        <v>0</v>
      </c>
      <c r="D2" s="2" t="n">
        <v>2200000</v>
      </c>
      <c r="E2" s="2" t="n">
        <v>2200000</v>
      </c>
    </row>
    <row r="3" ht="30" customHeight="1">
      <c r="A3" s="3" t="inlineStr">
        <is>
          <t>Partial reduction only</t>
        </is>
      </c>
      <c r="B3" s="3" t="n">
        <v>1000000</v>
      </c>
      <c r="C3" s="3" t="n">
        <v>0</v>
      </c>
      <c r="D3" s="3" t="n">
        <v>2200000</v>
      </c>
      <c r="E3" s="3" t="n">
        <v>1200000</v>
      </c>
    </row>
    <row r="4" ht="30" customHeight="1">
      <c r="A4" s="2" t="inlineStr">
        <is>
          <t>Full eligible reduction</t>
        </is>
      </c>
      <c r="B4" s="2" t="n">
        <v>2200000</v>
      </c>
      <c r="C4" s="2" t="n">
        <v>0</v>
      </c>
      <c r="D4" s="2" t="n">
        <v>2200000</v>
      </c>
      <c r="E4" s="2" t="n">
        <v>0</v>
      </c>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10" customWidth="1" min="3" max="3"/>
    <col width="95" customWidth="1" min="4" max="4"/>
    <col width="110" customWidth="1" min="5" max="5"/>
  </cols>
  <sheetData>
    <row r="1" ht="30" customHeight="1">
      <c r="A1" t="inlineStr">
        <is>
          <t>Section ID</t>
        </is>
      </c>
      <c r="B1" t="inlineStr">
        <is>
          <t>Page</t>
        </is>
      </c>
      <c r="C1" t="inlineStr">
        <is>
          <t>Current report text</t>
        </is>
      </c>
      <c r="D1" t="inlineStr">
        <is>
          <t>Source locators</t>
        </is>
      </c>
    </row>
    <row r="2" ht="159.5" customHeight="1">
      <c r="A2" t="inlineStr">
        <is>
          <t>SECTION-title-page</t>
        </is>
      </c>
      <c r="B2" t="n">
        <v>1</v>
      </c>
      <c r="C2" t="inlineStr">
        <is>
          <t>Independent accountability report How Help Is Offered Matters San Diego Homelessness Accountability Findings on shelter access, grant administration, performance reporting and billing corrections, traced to original records and reproducible calculations. Prepared by David L. Condrey david@writerslogic.com Prepared for consideration by San Diego City Council Independent; self-funded Report number SDHA-2026-01 Evidence cutoff October 18, 2026 Verified October 19, 2026 Version / license 1.3 · CC BY 4.0 Requested decision: commission a costed, independently reviewed comparison within 60 calendar days; require a separate funded readiness decision before moving duties. Executive brief · Reading index · Methods and disclosure 8% of referrals CSIP accommodated episodes · full FY2026 Three years CDBG timeliness failures · reported March 2025 $507,141 credit FY2025 SDHC overbilling · one repeated credit Margin tags point to passages especially relevant to these readers. CC · Council CFO · Finance IBA · Budget Chief · Police HSSD · Homelessness ESD · Environment Audit · Review Public · Residents Suggested citation Condrey, David L. (2026). How Help Is Offered Matters: San Diego Homelessness Accountability. Report SDHA-2026-01, version 1.3. Evidence and companion files on Zenodo: doi.org/10.5281/zenodo.23405738 . Topic briefs accompany Evidence.zip , the editable ledger and the HTML/plain-text editions. Select version 1.3 to match this PDF. Earlier version 1.2: doi:10.5281/zenodo.23405739 ; GitHub archive . This PDF is version 1.3. © 2026 David L. Condrey. Original contributions: Creative Commons Attribution 4.0 International . Credit, license link and changes required; third-party rights retained. License scope and disclosure</t>
        </is>
      </c>
      <c r="D2" t="inlineStr">
        <is>
          <t>[]</t>
        </is>
      </c>
    </row>
    <row r="3" ht="77.25" customHeight="1">
      <c r="A3" t="inlineStr">
        <is>
          <t>SECTION-decision</t>
        </is>
      </c>
      <c r="B3" t="n">
        <v>2</v>
      </c>
      <c r="C3" t="inlineStr">
        <is>
          <t>Executive brief · proposed Council action Repair the controls. Price the alternatives. Four controls now; a 60-day comparison Now: name owners for usable admission, grant administration, accepted reporting and billing corrections. By adoption + 60 days: return a costed comparison. Later: move eligible duties or funds only after separate funding approval and independent public readiness certifications. CC Request that the Mayor name the HSSD Director as the City’s accountable executive lead, with named EDD, Finance and SDHC counterparts. Price stronger coordination, targeted civilian transfer and placement/access investment on the same delivery and oversight basis. Identify ending paid costs and the records needed to verify service. Existing record Evidence required before transfer $5,163,800 for the Police Homeless Outreach Team (HOT) in the FY2027 outreach inventory. [FPB02] , original pp. 1, 5, 7; source thousands converted to dollars Task-level paid costs that can actually end; full replacement, transition and backfill prices. A 2020 contact-tracking recommendation was partly accepted, then not implemented. [S01] , original pp. 44–45 / printed pp. 39–40 A lawful, funded way to link existing records or a defensible bounded alternative. Existing civilian ESD crews and clinical/County outreach partners already perform part of this work. The audit credits coordination and administrative improvements. Price only additional eligible duties; verify admission and follow-up separately from ticket closure. A civilian outcome advantage and representative participant experience are not established. Source: [S01] , original pp. 10, 42, 58 ; [S03] , original p. 61; HOT partnership . CFO $2.2 million is an illustrative annual comparison ceiling. It is not found money or a verified transferable Police balance. This report authorizes no expenditure or transfer. Shaded passages follow one hypothetical experience, not documented City encounters. Imagine your home becomes uninhabitable tonight. Your identification, medication and belongings may be out of reach. You ask the City for help. You need an answer you can understand, an option you can use and someone responsible for what happens next. Keep that person in mind as the records accumulate. Draft direction | Cost basis | Required records | Control findings . Reading index Sources Methods / license</t>
        </is>
      </c>
      <c r="D3" t="inlineStr">
        <is>
          <t>[{"source_id": "FPB02", "locator": "original pp. 1, 5, 7; source thousands converted to dollars", "physical_pdf_pages": [1, 5, 7]}, {"source_id": "S01", "locator": "original pp. 44–45 / printed pp. 39–40", "physical_pdf_pages": [44, 45]}, {"source_id": "S01", "locator": "original pp. 10, 42, 58", "physical_pdf_pages": [10, 42, 58]}, {"source_id": "S03", "locator": "original p. 61; HOT partnership", "physical_pdf_pages": [61]}]</t>
        </is>
      </c>
    </row>
    <row r="4" ht="111.5" customHeight="1">
      <c r="A4" t="inlineStr">
        <is>
          <t>SECTION-council-findings</t>
        </is>
      </c>
      <c r="B4" t="n">
        <v>3</v>
      </c>
      <c r="C4" t="inlineStr">
        <is>
          <t>Council findings · current evidence and accountable action Four priorities for Council action. Four documented issues warrant named owners and a 60-day response. 01 Shelter access depends on a usable bed. FY2026 CSIP recorded 34,457 referral episodes, 2,813 accommodated (8%) and 6,991 unique households . Staff identified bottom-bunk scarcity as the primary constraint. These counts do not establish a unique-person denial rate. HSSD / SDHC: report required bed type, accessibility, confirmed entry and follow-up. Sources: [SDHC-JUL9-2026-LANDING] , original pp. 1–2 . 02 Grant decisions need a shared record. In March 2025, the IBA reported three years of CDBG timeliness failures and conflicting housing-subsidy rules. Swift’s final Council authority was $4 million . Current noncompliance or a paid diversion is not established. EDD / SDHC: publish the current test result, aligned rules and approval/drawdown trail. Sources: [EXP-IBA25-09-SWIFT] , original pp. 2–5 ; [EXP-R316132-SWIFT] , original pp. 1, 4–5 . 03 Annual reports must match operations and targets. The FY2025 CAPER says Paul Mirabile operated all year; its signed option ends December 31, 2024 , and the IBA records closure that month. Connections’ FY2026 report shows 153 people against a 175-person goal, with 98% occupancy ; the City cites longer stays. False billing is not established. HSSD / SDHC: reconcile periods, target terms and accepted results, retaining explanations and good-faith qualifications. Sources: [CITY-FY25-CAPER] , original p. 24 ; [NR53645063-M06] , original pp. 1–2 ; [EXP-IBA25-06-MIDYEAR] , original p. 15 ; [CITY-FY26-CAPER] , original p. 19 . 04 Reported credits need an account-level closure. FY2026 midyear and third-quarter reports disclose the same $507,141 FY2025 SDHC overbilling credit . The correction is reported; credit memos, program allocation and application to City accounts remain unverified. CFO / HSSD: reconcile each credit to its program, invoice, posting and net balance. Sources: [EXP-CITY-FY26-MIDYEAR] , original p. 81 ; [EXP-CITY-FY26-Q3] , original p. 82 . Council decision: require named owners and a response by adoption + 60 days. Price alternatives within the illustrative $2.2 million annual ceiling . Transfers require all six gates , separate funding approval and independent published certifications. No transferable Police balance or causal civilian advantage is established. Council action Control evidence Sources</t>
        </is>
      </c>
      <c r="D4" t="inlineStr">
        <is>
          <t>[{"source_id": "SDHC-JUL9-2026-LANDING", "locator": "original pp. 1–2", "physical_pdf_pages": [1, 2]}, {"source_id": "EXP-IBA25-09-SWIFT", "locator": "original pp. 2–5", "physical_pdf_pages": [2, 3, 4, 5]}, {"source_id": "EXP-R316132-SWIFT", "locator": "original pp. 1, 4–5", "physical_pdf_pages": [1, 4, 5]}, {"source_id": "CITY-FY25-CAPER", "locator": "original p. 24", "physical_pdf_pages": [24]}, {"source_id": "NR53645063-M06", "locator": "original pp. 1–2", "physical_pdf_pages": [1, 2]}, {"source_id": "EXP-IBA25-06-MIDYEAR", "locator": "original p. 15", "physical_pdf_pages": [15]}, {"source_id": "CITY-FY26-CAPER", "locator": "original p. 19", "physical_pdf_pages": [19]}, {"source_id": "EXP-CITY-FY26-MIDYEAR", "locator": "original p. 81", "physical_pdf_pages": [81]}, {"source_id": "EXP-CITY-FY26-Q3", "locator": "original p. 82", "physical_pdf_pages": [82]}]</t>
        </is>
      </c>
    </row>
    <row r="5" ht="30" customHeight="1">
      <c r="A5" t="inlineStr">
        <is>
          <t>SECTION-options</t>
        </is>
      </c>
      <c r="B5" t="n">
        <v>4</v>
      </c>
      <c r="C5" t="inlineStr">
        <is>
          <t>Policy comparison · all options owe the same service standards Choose the evidence for your decision. Start with the question you need to decide Read the Council action and findings first, then use your role route below; the complete contents follow. The cover explains the margin tags. Council · Decision and findings · 3 CFO / IBA · Charges and funding · 27 Chief / ESD · Operations and paid work · 54 HSSD · Service and oversight · 18 Public · Service safeguards · 18 Audit · Methods and proof pack · 74 Access and outcomes 5–17 Service quality and oversight 18–25 Spending, authority and accounting 26–48 Reporting, operations and limits 49–58 Further verified evidence 59–67 The Council decision 68–72 Methods and disclosure 73–74 A · Proposed Council direction 75–78 B · Illustrative cost model and sensitivity 79–80 C · Proposed participant and data protections 81–82 D · Final readiness assessment 83–84 Source directory 85–92 Compare the same all-in administration, delivery, access and evaluation costs. Option Capability to demonstrate Selection condition Current assignments + better coordination Preserve useful relationships; close routing, access and follow-through gaps. Favor this when qualified current capacity can meet the standards at a defensible full cost. Targeted civilian task transfer Add qualified capability for eligible duties still assigned to police. Require measured scope, ending paid cost or other lawful funding, replacement readiness and benefits worth transition/handoff risks. Placement/access investment Address a documented shelter/housing access constraint. Require eligible resources, actual delivery capacity, price and timetable; assistance dollars alone do not establish placements. Proposed rule: retain current assignments while comparing alternatives on the same service and full-cost basis. Decline an ineligible or unfunded transfer; revise unsupported scope or coverage. A costlier capability needs an explicit benefit and separate funding decision. Apply the same dignity, access and continuity standards to every option. Civilian transfer creates no shelter beds by itself. Price access and placement capacity alongside any reassignment. Reading index Sources Methods / license</t>
        </is>
      </c>
      <c r="D5" t="inlineStr">
        <is>
          <t>[]</t>
        </is>
      </c>
    </row>
    <row r="6" ht="86" customHeight="1">
      <c r="A6" t="inlineStr">
        <is>
          <t>SECTION-capacity</t>
        </is>
      </c>
      <c r="B6" t="n">
        <v>5</v>
      </c>
      <c r="C6" t="inlineStr">
        <is>
          <t>Measured access · populations and periods kept separate An offer must lead somewhere. You are helped to request a place to stay. No place is available that night. The referral is real; you still need somewhere safe to sleep. City CSIP · FY2026 through April Calculated lower bound 60.2% Minimum without a CSIP accommodation in the reported window 6,055 unique people seeking shelter 2,410 accommodated referral events At most 2,410 accommodated people At least 3,645 without accommodation 6,055 − at most 2,410 = at least 3,645.   3,645 / 6,055 = 60.2%. Calculated lower bound; not an observed unique denial rate. Source: [O46] , original pp. 3–4; May 8, 2026 minutes . CSIP source values and interpretation Coordinated Shelter Intake Program (CSIP): what the aggregate permits. City CSIP, FY2026 through April Unit / interpretation 6,055 Unique people seeking shelter. 2,410 Accommodated referral events; may include repeat people. 6,055 − at most 2,410 = at least 3,645 Minimum people without a CSIP accommodation in this window. 3,645 / 6,055 = 60.2% Calculated lower bound; not an observed unique denial rate. The denominator test HSSD The bound assumes every accommodated referral belongs to a different person; repeats would increase the minimum without an accommodation. Other routes into shelter or housing are outside this comparison. The City later reported 160 new Rachel’s beds available in August 2026. Their effect is outside the earlier CSIP window. Source: [BK08] , September 30 homelessness memorandum, original p. 54 . Regional history answers a different question The June 2026 UC San Diego study covers County emergency shelters from January 2018 through September 2025: 41,890 unique people and 85,515 stays, including repeats. About 30% of exit destinations were unreported. These are historical regional Homeless Management Information System (HMIS) records, not a current City rate or police comparison. Source: [UCSD26S] , original pp. 4, 7, 20 / printed pp. 1, 4, 17 . Separate study populations and denominator checks | Compare the spending choices . Reading index Sources Methods / license</t>
        </is>
      </c>
      <c r="D6" t="inlineStr">
        <is>
          <t>[{"source_id": "O46", "locator": "original pp. 3–4; May 8, 2026 minutes", "physical_pdf_pages": [3, 4]}, {"source_id": "BK08", "locator": "September 30 homelessness memorandum, original p. 54", "physical_pdf_pages": [54]}, {"source_id": "UCSD26S", "locator": "original pp. 4, 7, 20 / printed pp. 1, 4, 17", "physical_pdf_pages": [4, 7, 20]}]</t>
        </is>
      </c>
    </row>
    <row r="7" ht="180" customHeight="1">
      <c r="A7" t="inlineStr">
        <is>
          <t>SECTION-current-intake</t>
        </is>
      </c>
      <c r="B7" t="n">
        <v>6</v>
      </c>
      <c r="C7" t="inlineStr">
        <is>
          <t>Measured access · August 31, 2026 source update Bed-type shortages appear in the referral record. HSSD SDHC reports 4,828 referral events for July 1–August 31, 2026 (FY2027): 468 complete and 4,360 incomplete . Its published 10% complete / 90% incomplete split uses whole-percent rounding; the reproduced complete share is 9.69% . Five most frequent reasons for incomplete referrals · July–August 2026 Published reason Relative count Events No male top bunk 1,118 No male bottom bunk 692 No family beds 622 No Safe Sleeping space 501 No female bottom bunk 453 Counts are reported referral events. Only the five leading reasons are shown; this is not a census of unique people or all reasons. Occupancy measures a different constraint. August occupancy was 99% for single-adult shelters, 93% for family shelters and 92% for youth shelters. SDHC measures family occupancy by occupied units, not beds; a vacant unit does not establish a suitable place for any particular household. Decision consequence: Publish usable capacity by household and bed type beside referral dispositions. Aggregate occupancy cannot show whether the available place fits the person seeking help. Keep the units separate. SDHC says referrals are duplicative: one person may have incomplete referrals and later a completed referral. These events cannot establish a unique-person denial rate, verified retention or a trend against the earlier FY2026-through-April calculation on the preceding page. Sources: [SDHC-CSIP-2026-08] , original p. 1; August 31, 2026 update; July–August referral tables, reasons and occupancy footnotes . Separate City point-in-time snapshots: 2026 counted 3,132 unsheltered and 2,826 sheltered (5,958 total), versus 3,354 and 2,512 (5,866) in 2025. Unsheltered fell by 222; sheltered rose by 314; total rose by 92. Safe Parking and Safe Sleeping count as unsheltered. Snapshots do not trace individuals or establish causes; they differ from regional annual system exits. Source: [DR20] , physical p. 1; 2026/2025 counts and footnotes . Earlier unique-person lower bound Sources Methods / license</t>
        </is>
      </c>
      <c r="D7" t="inlineStr">
        <is>
          <t>[{"source_id": "SDHC-CSIP-2026-08", "locator": "original p. 1; August 31, 2026 update; July–August referral tables, reasons and occupancy footnotes", "physical_pdf_pages": [1]}, {"source_id": "DR20", "locator": "physical p. 1; 2026/2025 counts and footnotes", "physical_pdf_pages": [1]}]</t>
        </is>
      </c>
    </row>
    <row r="8" ht="56" customHeight="1">
      <c r="A8" t="inlineStr">
        <is>
          <t>SECTION-definitions</t>
        </is>
      </c>
      <c r="B8" t="n">
        <v>7</v>
      </c>
      <c r="C8" t="inlineStr">
        <is>
          <t>Evidence findings · regional study; two different observation windows Read destinations within their denominator. Population A: 29,045 people with a known most-recent shelter exit destination, San Diego County, January 2018–September 2025. About 30% of exit destinations are missing and excluded from these shares. Published rounded percentages follow. Reported/planned most-recent destination, not verified arrival or retention. Source: [UCSD26S] , original pp. 1, 20–21 / printed pp. 17–18; Figure 15 . Chart data: San Diego County, January 2018–September 2025; N = 29,045 known exits; about 30% missing destinations excluded. Reported/planned destination Published rounded share of known exits Permanent housing 31% Unsheltered 28% Temporary housing 21% Another shelter 14% Institutional 6% Source: [UCSD26S] , original pp. 1, 20–21 / printed pp. 17–18; Figure 15 . Live-text values: permanent housing 31%; unsheltered 28%; temporary housing 21%; another shelter 14%; institutional 6%. These rounded shares sum to 100% of known destinations, not all clients. Population B · October 2024–September 2025 The same study separately reports 21% permanent exits including clients without a reported destination for this annual window. Different dates and missing-data treatment prevent treating it as the same rate as Population A’s 31%. [UCSD26S] , original pp. 6–7, 25 / printed pp. 3–4, 22 Audit Destinations describe where clients reported or planned to stay. Favorable California results use different years and measures. Neither confirmed arrival, retention nor a police-versus-civilian effect is established. Rounded shares cannot yield a precise all-client rate. No participant-level data are included. Population C: historical APR denominator check | Chart-Data.csv in Evidence.zip provides a text equivalent. Reading index Sources Methods / license</t>
        </is>
      </c>
      <c r="D8" t="inlineStr">
        <is>
          <t>[{"source_id": "UCSD26S", "locator": "original pp. 1, 20–21 / printed pp. 17–18; Figure 15", "physical_pdf_pages": [1, 20, 21]}, {"source_id": "UCSD26S", "locator": "original pp. 1, 20–21 / printed pp. 17–18; Figure 15", "physical_pdf_pages": [1, 20, 21]}, {"source_id": "UCSD26S", "locator": "original pp. 6–7, 25 / printed pp. 3–4, 22", "physical_pdf_pages": [6, 7, 25]}]</t>
        </is>
      </c>
    </row>
    <row r="9" ht="180" customHeight="1">
      <c r="A9" t="inlineStr">
        <is>
          <t>SECTION-outcome-rules</t>
        </is>
      </c>
      <c r="B9" t="n">
        <v>8</v>
      </c>
      <c r="C9" t="inlineStr">
        <is>
          <t>Evidence findings · the denominator game: historical check and future measures The same numerator can tell two stories. HSSD Population C: selected pooled HSSD outreach project exits, July 2022–January 2024. This is neither the UC San Diego shelter cohort nor a current City rate. Non-interviews excluded 28.82% 466 / 1,617 All exits retained 11.95% 466 / 3,899 Same 466 permanent-destination exits. Different denominator. No additional housing outcome is created by removing missing interviews. Historical denominator Same permanent-destination numerator Calculated share All 3,899 exits 466 11.95% 3,899 − 2,282 no-interview records = 1,617 466 28.82% Source: [ADC03] , original p. 1 project roster; pp. 28–30 outcome tables . Good retention among a selected placed group does not establish broad reach. Proposed future measure Denominator that stays visible Reach / progress All eligible people in the predeclared operation cohort, including declines, temporarily absent people and unresolved contact. Count verified interim/permanent admissions separately. Retention at D = 30/90/180 All permanent placements that have reached that D-day follow-up. Publish maintained housing, confirmed loss and unknown status as shares of that same denominator. An offer label needs an explanation Informed decline: a usable option was explained and freely declined; record reasons only if freely supplied. Unavailable or unsuitable/inaccessible: no bed, transport, disability/language access, safety or needs fit; record efforts to remove the barrier. Unable to reconnect / unknown reason: preserve the uncertainty rather than coding it as a voluntary refusal. A refusal label alone establishes neither humane nor inhumane treatment. Intended destinations do not establish admission; participant experience requires its own evidence. Definitions, evidence fields and due dates are in Measurement-Specification.json . Reading index Sources Methods / license</t>
        </is>
      </c>
      <c r="D9" t="inlineStr">
        <is>
          <t>[{"source_id": "ADC03", "locator": "original p. 1 project roster; pp. 28–30 outcome tables", "physical_pdf_pages": [1, 28, 29, 30]}]</t>
        </is>
      </c>
    </row>
    <row r="10" ht="56.25" customHeight="1">
      <c r="A10" t="inlineStr">
        <is>
          <t>SECTION-newer-outcomes</t>
        </is>
      </c>
      <c r="B10" t="n">
        <v>9</v>
      </c>
      <c r="C10" t="inlineStr">
        <is>
          <t>Evidence findings · newer public reports and incompatible measures Outreach exits improved on a broader measure. Reported successful street-outreach exits · federal fiscal years FY2023 · 24% Specified successful destinations FY2024 · 37% Same broad measure FY2025 · 53% Includes non-permanent destinations HSSD RTFH’s June 2026 regional report shows successful street-outreach exits rising from 24% in federal FY2023 to 37% in FY2024 and 53% in FY2025. Its definition includes specified temporary and institutional destinations as well as permanent housing. This is favorable evidence of reported regional progress; 53% is not a permanent-housing or retention rate. Source: [DR07] , original pp. 3–5, 15; federal fiscal years October–September . City totals still combine different projects and periods Published APR table populations and reporting periods Pooled APR table counts July 2024–June 2025 July 2025–Jan. 2026 Q23c all exit records 6,436 4,115 Permanent-situation subtotal 1,504 966 No exit interview completed 1,968 644 Other / deceased / unknown-or-declined / not collected 80 / 24 / 52 / 69 56 / 16 / 17 / 43 Source: [DR05] , original pp. 1–2, 42 ; [DR06] , original pp. 1–4, 54–56 . The project lists combine shelter, outreach and services-only programs. Q5a’s client and data-quality columns differ; Q23c totals align with the latter leaver counts. Do not substitute the unique-client column into a Q23c rate or infer unique people from pooled exits. A project/cohort extract is needed for the proposed operation-level measure. A later two-page file labeled SafeParking_FY26 reports 946 served, 583 leavers and 363 stayers for July 2025–February 2026. It records 169 permanent destinations and 106 leavers without an exit interview. Its printed 29.44% positive-destination rate is 169 / (583 − 9 excluded destinations), not 169 / 946 served. Source: [DR19] , physical pp. 1–2; printed report pp. 2 and 41 of 67 . This extract uses Enrollment CoC Filter: Yes but includes no project roster. Do not add it to the overlapping January pool, rank providers or infer a trend, verified arrival, retention or staffing effect. The older outreach-only calculation remains a separate historical example. Reading index Sources Methods / license</t>
        </is>
      </c>
      <c r="D10" t="inlineStr">
        <is>
          <t>[{"source_id": "DR07", "locator": "original pp. 3–5, 15; federal fiscal years October–September", "physical_pdf_pages": [3, 4, 5, 15]}, {"source_id": "DR05", "locator": "original pp. 1–2, 42", "physical_pdf_pages": [1, 2, 42]}, {"source_id": "DR06", "locator": "original pp. 1–4, 54–56", "physical_pdf_pages": [1, 2, 3, 4, 54, 55, 56]}, {"source_id": "DR19", "locator": "physical pp. 1–2; printed report pp. 2 and 41 of 67", "physical_pdf_pages": [1, 2]}]</t>
        </is>
      </c>
    </row>
    <row r="11" ht="59.75" customHeight="1">
      <c r="A11" t="inlineStr">
        <is>
          <t>SECTION-state-system-data</t>
        </is>
      </c>
      <c r="B11" t="n">
        <v>10</v>
      </c>
      <c r="C11" t="inlineStr">
        <is>
          <t>Evidence findings · regional system measures; separate City snapshot Outreach placements rose; permanent-housing results fell. Audit The state’s October 2026 release adds calendar-year measures for CA-601, the San Diego City &amp; County Continuum of Care (CoC). Outreach placements rose while the permanent-housing measure fell. These are different populations and outcomes, rather than competing estimates of one result. Same release and geography; different measures and counting units. State measure CY2024 series CY2025 series People ending homelessness in permanent housing, including qualifying move-ins within the response system (M3) 6,711 6,027 People with successful street-outreach placements; includes destinations beyond permanent housing (M6) 5,324 6,014 Average recorded duration in days, including eligible continuous earlier enrollments (M4) 138 144 Recorded six-month return to homelessness after a permanent-destination system exit (M5) 9.4% 8.1% Regional unsheltered count (M1b) 6,110 5,714 Source: [DR15] , Location = CA-601 San Diego City &amp; County CoC; M3–M6; CY2024 and CY2025 columns . Read each row as its own measure; the cells print exact values. Different rows have different units. The return-rate cohort is different. The CY2025 M5 series follows permanent-destination system exits from July 1, 2024 through June 30, 2025 for six months. The CSV supplies no denominator count. Its 8.1% recorded-return figure cannot establish 91.9% verified housing retention. Source: [DR17] , original pp. 12–13, 18; M5 and exact CY2025 exit cohort . The state’s Homeless Data Integration System (HDIS) draws on participating HMIS providers. People outside that system remain unobserved. These publications share underlying HMIS records with regional reports; they are not independent person-level corroboration. Source: [DR16] , Metric definitions and calendar-year columns ; [DR17] , original pp. 3, 7, 10–11, 13–14, 16; coverage and M3/M4/M6 definitions . Decision use: compare like periods, request the return-cohort counts and verify housing status separately. Neither an improving measure nor a worsening one identifies which proposed staffing option will work. HHAP3 regional goal: 3,852 in 2024, 3% below the 2020 baseline of 3,971 . Actual 6,110 was 2,258 above goal; 2025 declined to 5,714 . Regional shortfall, not a City-only result or proof of grant misuse. Sources: [EXP-HHAP3-FINAL-GOALS] , original p. 2; final regional target ; [DR15] , Location=CA-601 San Diego City &amp; County CoC; Metric=M1b; 2020/2024/2025 columns ; [DR17] , original pp. 3–4; measure definitions . Reading index Sources Methods / license</t>
        </is>
      </c>
      <c r="D11" t="inlineStr">
        <is>
          <t>[{"source_id": "DR15", "locator": "Location = CA-601 San Diego City &amp; County CoC; M3–M6; CY2024 and CY2025 columns", "physical_pdf_pages": []}, {"source_id": "DR17", "locator": "original pp. 12–13, 18; M5 and exact CY2025 exit cohort", "physical_pdf_pages": [12, 13, 18]}, {"source_id": "DR16", "locator": "Metric definitions and calendar-year columns", "physical_pdf_pages": []}, {"source_id": "DR17", "locator": "original pp. 3, 7, 10–11, 13–14, 16; coverage and M3/M4/M6 definitions", "physical_pdf_pages": [3, 7, 10, 11, 13, 14, 16]}, {"source_id": "EXP-HHAP3-FINAL-GOALS", "locator": "original p. 2; final regional target", "physical_pdf_pages": [2]}, {"source_id": "DR15", "locator": "Location=CA-601 San Diego City &amp; County CoC; Metric=M1b; 2020/2024/2025 columns", "physical_pdf_pages": []}, {"source_id": "DR17", "locator": "original pp. 3–4; measure definitions", "physical_pdf_pages": [3, 4]}]</t>
        </is>
      </c>
    </row>
    <row r="12" ht="83.75" customHeight="1">
      <c r="A12" t="inlineStr">
        <is>
          <t>SECTION-deep-apr-lineage</t>
        </is>
      </c>
      <c r="B12" t="n">
        <v>11</v>
      </c>
      <c r="C12" t="inlineStr">
        <is>
          <t>Evidence findings · Follow-up verification · October 17, 2026 The same project set produces different client totals. Same projects and period; different saved selection Individual APRs Enrollment CoC Filter: No Combined APR Enrollment CoC Filter: Yes Interpretation Generation dates also differ Audit The exact period and project IDs match; the report settings differ. Three individual Safe Sleeping APRs and the combined City APR cover July 1, 2024–June 30, 2025 and the same six projects. The individual headers say Enrollment CoC Filter: No ; the combined says Yes . FY2025 Q4 active-client records; sums across project IDs Site / operator Individual APR Combined APR 20th &amp; B / DfC 483 331 O Lot / DfC 867 580 O Lot / DSDP 566 386 Six-project sum 1,916 1,297 Bars compare project-record counts within each column; the saved filters and generation dates still govern interpretation. Sources: [NR57670541] , original p. 1; period, filter and project IDs 1221/1514 ; [NR57670542] , original p. 1; IDs 1259/1260 ; [NR57670544] , original p. 1; IDs 1258/1477 ; [DR05] , original p. 1; same six Q4 project IDs and filter . The difference is 619 project-person records (32.31%) , not 619 identified unique people. Bitfocus documents that the filter narrows households by the selected CoC at project entry. Different generation dates also permit later entries or corrections. The entire difference cannot be assigned to the filter alone; these records do not demonstrate fabrication. Sources: [BITFOCUS-APR-PARAMETERS] , Enrollment CoC Filter parameter and household/project-entry selection . Project selection changes across releases, too. Mission Valley project 572 appears in the FY2025 combined APR and the July–October FY2026 individual APR, but not either Q4 page of the July–January FY2026 combined APR. A longer reporting window therefore does not make the later pool directly comparable. Sources: [NR57670456] , original p. 1; Mission Valley project 572 ; [DR06] , original pp. 1–2; full Q4 roster . Control: publish the saved parameters, exact project roster, generation date and revision reason with each return. Comparisons need the same cohort, filter, period and unit before a discrepancy can be treated as a performance change. Follow-up findings Sources Methods / license</t>
        </is>
      </c>
      <c r="D12" t="inlineStr">
        <is>
          <t>[{"source_id": "NR57670541", "locator": "original p. 1; period, filter and project IDs 1221/1514", "physical_pdf_pages": [1]}, {"source_id": "NR57670542", "locator": "original p. 1; IDs 1259/1260", "physical_pdf_pages": [1]}, {"source_id": "NR57670544", "locator": "original p. 1; IDs 1258/1477", "physical_pdf_pages": [1]}, {"source_id": "DR05", "locator": "original p. 1; same six Q4 project IDs and filter", "physical_pdf_pages": [1]}, {"source_id": "BITFOCUS-APR-PARAMETERS", "locator": "Enrollment CoC Filter parameter and household/project-entry selection", "physical_pdf_pages": []}, {"source_id": "NR57670456", "locator": "original p. 1; Mission Valley project 572", "physical_pdf_pages": [1]}, {"source_id": "DR06", "locator": "original pp. 1–2; full Q4 roster", "physical_pdf_pages": [1, 2]}]</t>
        </is>
      </c>
    </row>
    <row r="13" ht="83" customHeight="1">
      <c r="A13" t="inlineStr">
        <is>
          <t>SECTION-deep-additional-outcomes</t>
        </is>
      </c>
      <c r="B13" t="n">
        <v>12</v>
      </c>
      <c r="C13" t="inlineStr">
        <is>
          <t>Evidence findings · Follow-up verification · October 18, 2026 The family-shelter target fell as its exit share improved. HSSD A lower household target changes the annual comparison. The City’s CAPERs report the same 42-unit Alpha Project family shelter at 1801 Logan Avenue as follows. Same family shelter; annual households and people Reported measure FY2025 FY2026 Household service goal 135 75 Individual service goal 450 250 Households served 103 83 Individuals served 322 248 Permanent exits / exiting households 50% 79% Households, individuals and exit shares are separate measures; read exact targets and results within each row. Sources: [CITY-FY25-CAPER] , original pp. 23–24; family shelter, targets, results and barriers ; [CITY-FY26-CAPER] , original p. 19; family shelter annual results and contracted household goal ; [NR53645063-M50] , member original pp. 19, 21; same site and original capacity ; [NR53645063-M52] , member original pp. 1, 3, 11; FY2025 option, signatures and targets ; [NR53645063-M62] , member original pp. 1, 4, 19–20, 22, 38–39; FY2026 term, site, targets, capacity and outcome terms . The household goal fell 44.4% , while households served fell 19.4% . FY2026 exceeded its household goal despite serving fewer households; its individual count was two below target. At the same time, the reported permanent-exit share improved. The FY2025 account describes longer stays, greater needs and housing/document barriers; exit counts are not supplied here to reconstruct the percentages. Both contracts plan 105 beds on average; unit wording changes from maximum to minimum 42. These facts do not establish target manipulation or worse individual outcomes. A newer system snapshot still has unknown destinations. SDHC’s dashboard for July–August 2026 displays 304 exiting shelter households: 80 permanent, 53 temporary, 19 institutional, 49 homeless and 103 Not Reported (33.9%) . Permanent destinations are 26.3% of all 304, compared with 39.8% of the 201 with a reported destination. Sources: [SDHC-SHELTER-DASHBOARD-2026-08] , original static Shelter dashboard image; FY2027 through August 31, 2026; destination chart and deduplication footnote ; [SDHC-DASHBOARD-WELCOME-2026-08] , original Welcome dashboard image; data current August 31, 2026 . This two-month system pool is separate from the annual family-shelter cohort. Its footnote de-duplicates households to their last SDHC shelter enrollment; it does not establish unique people across all City programs. “Not Reported” is the displayed category, not evidence of fabrication. Publish targets, changes, counts and unknowns with the period and cohort definition. Follow-up findings Sources Methods / license</t>
        </is>
      </c>
      <c r="D13" t="inlineStr">
        <is>
          <t>[{"source_id": "CITY-FY25-CAPER", "locator": "original pp. 23–24; family shelter, targets, results and barriers", "physical_pdf_pages": [23, 24]}, {"source_id": "CITY-FY26-CAPER", "locator": "original p. 19; family shelter annual results and contracted household goal", "physical_pdf_pages": [19]}, {"source_id": "NR53645063-M50", "locator": "member original pp. 19, 21; same site and original capacity", "physical_pdf_pages": [1, 4, 19, 21]}, {"source_id": "NR53645063-M52", "locator": "member original pp. 1, 3, 11; FY2025 option, signatures and targets", "physical_pdf_pages": [1, 3, 11]}, {"source_id": "NR53645063-M62", "locator": "member original pp. 1, 4, 19–20, 22, 38–39; FY2026 term, site, targets, capacity and outcome terms", "physical_pdf_pages": [1, 4, 19, 20, 22, 38, 39]}, {"source_id": "SDHC-SHELTER-DASHBOARD-2026-08", "locator": "original static Shelter dashboard image; FY2027 through August 31, 2026; destination chart and deduplication footnote", "physical_pdf_pages": []}, {"source_id": "SDHC-DASHBOARD-WELCOME-2026-08", "locator": "original Welcome dashboard image; data current August 31, 2026", "physical_pdf_pages": []}]</t>
        </is>
      </c>
    </row>
    <row r="14" ht="64" customHeight="1">
      <c r="A14" t="inlineStr">
        <is>
          <t>SECTION-deep-access</t>
        </is>
      </c>
      <c r="B14" t="n">
        <v>13</v>
      </c>
      <c r="C14" t="inlineStr">
        <is>
          <t>Evidence findings · Follow-up verification · October 17, 2026 Intake restrictions extended beyond the closing shelter. Intake changes documented in later minutes Restriction Other sites paused intake; police-referral exception June 12 Safe Sleeping intake resumed June 23 Single-adult shelter intake resumed HSSD Closure planning affected admissions beyond Rosecrans. SDHC’s June 2025 minutes attribute a decline in placements partly to temporary intake suspensions at other single-adult shelters and Safe Sleeping sites while preparing for the closure. A police-referral exception remained. Official referral/placement reporting; not unique people Period Requests/referrals Placements May 2025 2,216 128 (5.8%) June 2025 1,242 233 (18.8%) FY2025 24,389 2,820 (11.6%) Later minutes report intake resuming June 12 for Safe Sleeping and June 23 for single-adult shelters. They also say every Rosecrans resident was offered an alternative, with 16 beds held for 16 remaining residents. Offers do not establish acceptance or retention; the annual unplaced referrals cannot all be attributed to the pause. Sources: [SDHC-2025-06-20] , original pp. 1–2; May/YTD counts, pause and referral exception ; [SDHC-2025-07-18] , original p. 3; June/FY counts, intake resumption and alternatives . A draft provider report shows another capacity distinction. SBCS’s released FY2025 shelter draft reports 73% occupancy against a 95% target , with monthly values of 52–87%. Its narratives describe three rooms out of order from plumbing in July, five uninhabitable units in August, and later repairs. Those entries do not explain the full annual gap. The same draft reports 186 new families against a 126-family target and 105 permanent-housing exits among 174 total exits. These positive results belong alongside the occupancy concern. July–October FY2026 reported occupancy was 77%. Sources: [NR57670753] , original pp. 1, 3; FY2025 draft table and repair narratives ; [NR57670754] , original p. 1; FY2026 draft through October . Occupancy in units per night, families served, referrals and housing exits are different measures. The draft returns do not provide a matched ready-capacity, closure and referral denominator. No City-accepted breach or idle-staff finding follows from these drafts. Follow-up findings Sources Methods / license</t>
        </is>
      </c>
      <c r="D14" t="inlineStr">
        <is>
          <t>[{"source_id": "SDHC-2025-06-20", "locator": "original pp. 1–2; May/YTD counts, pause and referral exception", "physical_pdf_pages": [1, 2]}, {"source_id": "SDHC-2025-07-18", "locator": "original p. 3; June/FY counts, intake resumption and alternatives", "physical_pdf_pages": [3]}, {"source_id": "NR57670753", "locator": "original pp. 1, 3; FY2025 draft table and repair narratives", "physical_pdf_pages": [1, 3]}, {"source_id": "NR57670754", "locator": "original p. 1; FY2026 draft through October", "physical_pdf_pages": [1]}]</t>
        </is>
      </c>
    </row>
    <row r="15" ht="105" customHeight="1">
      <c r="A15" t="inlineStr">
        <is>
          <t>SECTION-deep-notable-central</t>
        </is>
      </c>
      <c r="B15" t="n">
        <v>14</v>
      </c>
      <c r="C15" t="inlineStr">
        <is>
          <t>Evidence findings · Follow-up verification · October 18, 2026 A new family parking site was scarcely used. HSSD Central Elementary opened in November 2025 with 40 overnight family parking spaces . The April 2026 Independent Budget Analyst review reports an average of 3–5 families nightly since opening . Yet HSSD expected no FY2026 City General Fund carryforward from the site despite its low use. Approved first-year funding; not a payment ledger Component Amount Operator: City General Fund + RTFH $237,500 + $325,850 = $563,350 SDHC administration: City + RTFH $12,500 + $17,150 = $29,650 Total $593,000 The November 7, 2025 board vote approved operator authority for November 17, 2025–November 16, 2026. The April review reports that HSSD considered other parking capacity sufficient; SDHC, the operator and the school district were exploring continuation. Sources: [SDHC-CENTRAL-PARKING-HCR25-069] , original pp. 1, 3, 5–6; term, procurement route and funding ; [SDHC-NOV7-2025-MINUTES] , original pp. 3–4; item 102 approval and funding substitution ; [IBA-26-11] , original p. 205 / printed p. 201; occupancy, funding and continuation . The City subsequently selected the site for closure. The June 16, 2026 announcement of the adopted FY2027 budget names Central and Aero for permanent closure. The City’s October 15 parking roster lists four remaining locations. These records do not establish Central’s exact last service date. Sources: [CITY-FY27-SHELTER-ANNOUNCEMENT] , June 16, 2026; adopted budget and Central/Aero closures ; [CITY-SAFE-PARKING-CURRENT] , updated October 15, 2026; remaining locations . Accountability question: reconcile actual payments, fixed staffing costs, occupied nights, unique families and exit outcomes with the launch decision and closure. The approved $593,000 is not demonstrated spending or waste. A partial-period nightly average cannot support a full-year cost per family. Follow-up findings Sources Methods / license</t>
        </is>
      </c>
      <c r="D15" t="inlineStr">
        <is>
          <t>[{"source_id": "SDHC-CENTRAL-PARKING-HCR25-069", "locator": "original pp. 1, 3, 5–6; term, procurement route and funding", "physical_pdf_pages": [1, 3, 5, 6]}, {"source_id": "SDHC-NOV7-2025-MINUTES", "locator": "original pp. 3–4; item 102 approval and funding substitution", "physical_pdf_pages": [3, 4]}, {"source_id": "IBA-26-11", "locator": "original p. 205 / printed p. 201; occupancy, funding and continuation", "physical_pdf_pages": [205]}, {"source_id": "CITY-FY27-SHELTER-ANNOUNCEMENT", "locator": "June 16, 2026; adopted budget and Central/Aero closures", "physical_pdf_pages": []}, {"source_id": "CITY-SAFE-PARKING-CURRENT", "locator": "updated October 15, 2026; remaining locations", "physical_pdf_pages": []}]</t>
        </is>
      </c>
    </row>
    <row r="16" ht="69.75" customHeight="1">
      <c r="A16" t="inlineStr">
        <is>
          <t>SECTION-deep-notable-selection</t>
        </is>
      </c>
      <c r="B16" t="n">
        <v>15</v>
      </c>
      <c r="C16" t="inlineStr">
        <is>
          <t>Evidence findings · Follow-up verification · October 18, 2026 The parking award has a documented disputed history. Read the complaint against the actual procurement route Earlier planning The provider disputes the award Permitted route Nonprofit exception has written conditions Final test Selection, certification and executed terms Audit In an October 9, 2025 letter released by the City, Dreams for Change’s CEO challenged the selection of another Central Elementary operator. The letter says earlier planning, budgets and draft contracts had prompted preparation, and asks for reconsideration or $19,437 in reimbursement. This is the provider’s claim; its costs and entitlement are not independently established. Sources: [NR55803124] , original pp. 1–2; October 9, 2025 provider letter . The October staff report cites an expedited timeframe and SDHC’s nonprofit procurement route. Earlier City planning had contemplated an April 2024 opening. The long planning history makes the eventual operator decision worth documenting, but does not establish that the nonprofit exception was unavailable. Sources: [SDHC-CENTRAL-PARKING-HCR25-069] , original pp. 1, 3; cited route and timing ; [IBA-24-04] , original p. 17; earlier anticipated opening . The cited policy expressly permits a noncompetitive award. SDHC’s July 30, 2024 policy §9.1 permits qualifying nonprofit service contracts without competition. It requires written CEO certifications of public policy and public interest, an indexed annual ceiling, and documented consideration of supervision, insurance and indemnity. The acquired complaint is not the full procurement file and supplies no basis for finding those records absent at the agency. Sources: [SDHC-PROCUREMENT-2024] , original pp. 29–30; §9.1 and its conditions . Funding labels also require a bridge. The approval table identifies $325,850 from RTFH and says no federal funds are involved for environmental review. A later semiannual grant table lists the same Central/JFS amount under HUD, CoC and HHAP via the City. The board authorized substitution of funding sources. Sources: [SDHC-CENTRAL-PARKING-HCR25-069] , original pp. 5–6; funding and environmental statement ; [SDHC-GRANT-HCR26-025] , original pp. 6–8; Table 4 row 22 on p. 8 ; [SDHC-NOV7-2025-MINUTES] , original p. 4; substitution authority . Obtain the selection record, policy certifications, provider response, executed agreement and final funding coding. Substitution, shorthand or a table error could explain the labels. Neither the complaint nor the label difference establishes favoritism, an improper federal charge or fraud; HHAP itself is state funding. Follow-up findings Sources Methods / license</t>
        </is>
      </c>
      <c r="D16" t="inlineStr">
        <is>
          <t>[{"source_id": "NR55803124", "locator": "original pp. 1–2; October 9, 2025 provider letter", "physical_pdf_pages": [1, 2]}, {"source_id": "SDHC-CENTRAL-PARKING-HCR25-069", "locator": "original pp. 1, 3; cited route and timing", "physical_pdf_pages": [1, 3]}, {"source_id": "IBA-24-04", "locator": "original p. 17; earlier anticipated opening", "physical_pdf_pages": [17]}, {"source_id": "SDHC-PROCUREMENT-2024", "locator": "original pp. 29–30; §9.1 and its conditions", "physical_pdf_pages": [29, 30]}, {"source_id": "SDHC-CENTRAL-PARKING-HCR25-069", "locator": "original pp. 5–6; funding and environmental statement", "physical_pdf_pages": [5, 6]}, {"source_id": "SDHC-GRANT-HCR26-025", "locator": "original pp. 6–8; Table 4 row 22 on p. 8", "physical_pdf_pages": [6, 7, 8]}, {"source_id": "SDHC-NOV7-2025-MINUTES", "locator": "original p. 4; substitution authority", "physical_pdf_pages": [4]}]</t>
        </is>
      </c>
    </row>
    <row r="17" ht="56.75" customHeight="1">
      <c r="A17" t="inlineStr">
        <is>
          <t>SECTION-deep-outcomes</t>
        </is>
      </c>
      <c r="B17" t="n">
        <v>16</v>
      </c>
      <c r="C17" t="inlineStr">
        <is>
          <t>Evidence findings · Follow-up verification · October 17, 2026 A positive exit is not a uniform housing measure. Audit Dreams for Change’s public report titled 2025 Annual Report explicitly measures Safe Sleeping success beyond permanent housing. It reports 1,375 people served, 905 exits and 242 positive exits . The broader total is reproduced below. Provider’s positive-exit components Reported destination Exits Rental housing 142 Emergency shelter or voucher 50 Inpatient treatment 35 Family/friends 11 Transitional housing 3 Safe haven 1 Total labeled positive 242 Reported destination categories; the total is shown separately and is not a uniform permanent-housing measure. Rental is the provider’s category; family/friends does not specify duration. The page gives no exact reporting window, project-ID crosswalk or retention cohort. These figures cannot be treated as a contradiction of the City’s fiscal-year APRs, or relabeled permanent-housing exits. Sources: [DFC-2025-REPORT] , original pp. 1, 8; title, destination table and stated broader success measure . The City withheld a separate comprehensive draft. Released correspondence documents a November 2025 draft sent to City officials. The provider proposed withholding some data pending a lawsuit; the City asked about review time and intended distribution. In March 2026, the City released correspondence but blacked out nineteen report pages, citing Government Code 7927.500, the preliminary-draft exemption. Sources: [NR60870769] , original pp. 1–6; report correspondence; pp. 7–25 blacked out ; [REQ25-9337JSON] , request text; comprehensive report and correspondence ; [REQ25-9337TIMELINE] , March 18, 2026 closure; event 102368366; asserted draft exemption . The public eleven-page annual report is not established as the final version of that nineteen-page draft. No finding that the City ordered suppression or violated the CPRA is made. The released record supports a finding about restricted access to that draft, not a finding about its undisclosed contents or the legality of withholding. Follow-up findings Sources Methods / license</t>
        </is>
      </c>
      <c r="D17" t="inlineStr">
        <is>
          <t>[{"source_id": "DFC-2025-REPORT", "locator": "original pp. 1, 8; title, destination table and stated broader success measure", "physical_pdf_pages": [1, 8]}, {"source_id": "NR60870769", "locator": "original pp. 1–6; report correspondence; pp. 7–25 blacked out", "physical_pdf_pages": [1, 2, 3, 4, 5, 6, 7, 8, 9, 10, 11, 12, 13, 14, 15, 16, 17, 18, 19, 20, 21, 22, 23, 24, 25]}, {"source_id": "REQ25-9337JSON", "locator": "request text; comprehensive report and correspondence", "physical_pdf_pages": []}, {"source_id": "REQ25-9337TIMELINE", "locator": "March 18, 2026 closure; event 102368366; asserted draft exemption", "physical_pdf_pages": []}]</t>
        </is>
      </c>
    </row>
    <row r="18" ht="75.25" customHeight="1">
      <c r="A18" t="inlineStr">
        <is>
          <t>SECTION-deep-frp</t>
        </is>
      </c>
      <c r="B18" t="n">
        <v>17</v>
      </c>
      <c r="C18" t="inlineStr">
        <is>
          <t>Evidence findings · Follow-up verification · October 17, 2026 A published result falls below a written target. HSSD The executed July 2023 Family Reunification amendment calls for at least 700 unduplicated individuals reconnected each July–June fiscal year. DSDP’s July 2024 board packet reports 513 for FY2024 , a published result 187 below that target (26.7%). Cross-check the reporting unit and period Record Evidence Contract At least 700 unduplicated individuals; future option-year targets depend on funding. Provider board packet FY24 July–June total 513; earlier 447 individuals plus June’s 66 reproduces the annual total. City public account September 2024 article describes just over 500 people placed into housing from this program in FY2024. Sources: [NR35389136] , original pp. 3, 5, 14–15, 37; signatures, target and performance terms ; [DSDP-FY24] , original pp. 6, 11; individuals, households and July–June total ; [CITY-FRP-FY24] , September 13, 2024; final two substantive paragraphs . The agreement requires good-faith efforts and says a performance improvement plan may be required. The comparison is not a certified unduplicated HMIS reconciliation or a City breach determination. It does not establish fraudulent billing, 187 missing people, or long-term housing retention. Feedback and follow-up are present, but coverage is unmeasured. A public provider packet includes a participant survey quotation, and later minutes describe six-month follow-up. The contract separately requires quarterly satisfaction reporting on methods, assessment and resulting service changes. The public examples do not supply that full assessment or its response denominator. Sources: [NR35389136] , original p. 6; quarterly participant-satisfaction reporting ; [DSDP-SURVEY] , original p. 16; public participant feedback ; [DSDP-FOLLOWUP] , original pp. 7, 9; six-month follow-up discussion . Final finding: the published FY2024 result is below the written annual target. The releases do not establish the accepted cohort return, an applicable revised target or a City breach determination. Family Reunification evidence does not certify Safe Sleeping satisfaction or performance. Follow-up findings Sources Methods / license</t>
        </is>
      </c>
      <c r="D18" t="inlineStr">
        <is>
          <t>[{"source_id": "NR35389136", "locator": "original pp. 3, 5, 14–15, 37; signatures, target and performance terms", "physical_pdf_pages": [3, 5, 14, 15, 37]}, {"source_id": "DSDP-FY24", "locator": "original pp. 6, 11; individuals, households and July–June total", "physical_pdf_pages": [6, 11]}, {"source_id": "CITY-FRP-FY24", "locator": "September 13, 2024; final two substantive paragraphs", "physical_pdf_pages": []}, {"source_id": "NR35389136", "locator": "original p. 6; quarterly participant-satisfaction reporting", "physical_pdf_pages": [6]}, {"source_id": "DSDP-SURVEY", "locator": "original p. 16; public participant feedback", "physical_pdf_pages": [16]}, {"source_id": "DSDP-FOLLOWUP", "locator": "original pp. 7, 9; six-month follow-up discussion", "physical_pdf_pages": [7, 9]}]</t>
        </is>
      </c>
    </row>
    <row r="19" ht="54.5" customHeight="1">
      <c r="A19" t="inlineStr">
        <is>
          <t>SECTION-humane</t>
        </is>
      </c>
      <c r="B19" t="n">
        <v>18</v>
      </c>
      <c r="C19" t="inlineStr">
        <is>
          <t>Proposed standards · verify existing duties before adding requirements Make respectful help observable. You begin replacing identification and arranging appointments. Repeated moves interrupt the work. A useful response protects your ability to complete the next step. Public The City’s calendar-2025 I-15 grant narrative describes displacement, inconsistent engagement and risks to vital documents during cleanups. This grantee-reported concern does not establish frequency or everyone’s experience. Source: [HC02] , Part III – Challenges C70:F70; calendar 2025 narrative . HSSD is the proposed accountable owner across teams; case and monitoring roles differ. Requirement Observable check and proposed lead Listen Provider case lead asks needs/priorities; trauma disclosure is optional. Independent reviewer examines confidential feedback and cases. Explain Provider lead explains availability, eligibility, next steps and enforcement limits in understandable language and accessible formats. Offer usable choices Receiving provider confirms availability and suitability; distinguishes voluntary services from enforcement requirements and respects informed choices. Investigate barriers Case lead records unsuitable/inaccessible offers, efforts to remove barriers and freely given reasons for declining. Protect continuity HSSD service manager requires a named receiving lead, confirmed next step, document access and attempts to reconnect. Provide recourse Independent complaint recipient offers confidential, accessible routes; logs acknowledgement, findings, correction and protection from retaliation. Monitoring: weekly barrier/handoff review; independent observation or case review; quarterly public invitation/response coverage and corrective-action summaries. Do not infer respectful care from a checkbox or satisfaction average. Publish actual language/disability support, telephone and in-person complaint options before launch. Help must not depend on research participation. Participant notice | Existing obligations . Reading index Sources Methods / license</t>
        </is>
      </c>
      <c r="D19" t="inlineStr">
        <is>
          <t>[{"source_id": "HC02", "locator": "Part III – Challenges C70:F70; calendar 2025 narrative", "physical_pdf_pages": []}]</t>
        </is>
      </c>
    </row>
    <row r="20" ht="162.5" customHeight="1">
      <c r="A20" t="inlineStr">
        <is>
          <t>SECTION-existing-obligations</t>
        </is>
      </c>
      <c r="B20" t="n">
        <v>19</v>
      </c>
      <c r="C20" t="inlineStr">
        <is>
          <t>Evidence findings · acquired agreements and operating rules Participant protections exist; verified coverage is a separate test. HSSD Released instruments and correspondence establish specific duties and selected City oversight. Historical terms and reported procedures do not establish present compliance or representative participant access. Written protections, observed oversight and evidentiary boundaries Record / control Established requirement or action Boundary PATH I-15; City Net Feedback, grievance/appeal, confidentiality, accommodation and recurring outcome reports. City Net: critical incidents within 24 hours ; many outcomes are reporting only. Initial terms do not prove current renewal or delivery. Dreams for Change · August 2023 Non-retaliation; uninvolved reviewer; determination in 14 business days , notice within 24 hours ; final appeal in seven business days . Reconcile proposed two-day acknowledgement / ten-day answer-or-update standards with applicable rules. City–SDHC MOU · 2020–21 Monthly operator outcomes; at least quarterly City reporting for public access. Historical term does not establish today’s obligation or a violation. June 9, 2025 exchange City asked for signed exit paperwork, dispute/appeal and incident follow-up; provider described investigation and grievance. Actual oversight; allegations, adequacy and participant-wide accessibility remain unadjudicated. June 3, 2025 City Net response Caltrans activity deliverables → reporting-only outcomes in 2023 → metrics after a 2024 baseline. City cited underperformance in folding work into other contracts. Reported 98.3% remaining homeless lacks count, window and full definition; no all-outreach effect or ranking. [DR02] original pp. 11–14, 17–19 [DR03] original pp. 12–14, 17–18 [DR04] original pp. 22–24 [DR11] original pp. 2–5; term and reporting responsibilities [DR10] original p. 14; June 9 correspondence and provider reply [DR08] original p. 1; Council District 8 response CC Decision: R05 must identify current duties, monitor, compliance and participant-access evidence, remedy and uncovered people. Selected responses do not establish independently checked outcomes. Reading index Sources Methods / license</t>
        </is>
      </c>
      <c r="D20" t="inlineStr">
        <is>
          <t>[{"source_id": "DR02", "locator": "original pp. 11–14, 17–19", "physical_pdf_pages": [11, 12, 13, 14, 17, 18, 19]}, {"source_id": "DR03", "locator": "original pp. 12–14, 17–18", "physical_pdf_pages": [12, 13, 14, 17, 18]}, {"source_id": "DR04", "locator": "original pp. 22–24", "physical_pdf_pages": [22, 23, 24]}, {"source_id": "DR11", "locator": "original pp. 2–5; term and reporting responsibilities", "physical_pdf_pages": [2, 3, 4, 5]}, {"source_id": "DR10", "locator": "original p. 14; June 9 correspondence and provider reply", "physical_pdf_pages": [14]}, {"source_id": "DR08", "locator": "original p. 1; Council District 8 response", "physical_pdf_pages": [1]}]</t>
        </is>
      </c>
    </row>
    <row r="21" ht="82.25" customHeight="1">
      <c r="A21" t="inlineStr">
        <is>
          <t>SECTION-control-meal-quality</t>
        </is>
      </c>
      <c r="B21" t="n">
        <v>20</v>
      </c>
      <c r="C21" t="inlineStr">
        <is>
          <t>Evidence findings · Verified controls · October 17, 2026 The meal contract requires acceptance and complaint evidence. HSSD The executed meal agreement requires menus, dietary accommodations, complaint responses and staff-endorsed delivery receipts. Those obligations provide a concrete acceptance test. The reviewed invoices and proposed menus do not establish the portions, temperature, suitability or condition of a particular delivered meal. Obligations in the acquired meal-delivery contract Required or promised Evidence needed for delivered performance City-approved menus and substitutions Dated menu approvals matched to meals accepted at the site. Dietary accommodation and an A-rated facility Requests and fulfilled accommodations; the applicable County inspection and facility record. Complaint response and staff-endorsed delivery receipts Dated complaints, investigation, acceptance/rejection and any remedy or credit. Proposal: feedback and temperature records Actual logs and response coverage, with missing records identified. Sources: [C37828979] , original pp. 11–14; requirements; pp. 44–46; proposal; pp. 52–54; sample menus . Dreams for Change acknowledged portion and menu concerns while denying contaminated meals in a 10News statement. CalMatters reported a resident’s concern about insufficient meals. These are attributed accounts, not an independently verified nutrition or food-safety finding, or proof of a particular defective Rowe delivery. Sources: [CNEWS10] , operator response on portions, menus and incoming-meal inspection ; [CCALMATTERS] , resident account of insufficient meals . Other clients are documented; unequal quality is not Escondido’s September 16, 2026 minutes authorize a three-year, $782,343 senior-nutrition agreement with Rowe, A-3616 / Resolution 2026-157, by a 5–0 consent vote. Rowe’s City-filed proposal also supplies CBP references; those are vendor representations, not agency quality assessments. Sources: [CESCONDIDO] , original pp. 1–2; consent item 6 and vote ; [C37828979] , original pp. 56–58; vendor-supplied CBP references . No matched comparison of delivered menus, portions, complaints or measured quality across these clients was acquired. A different contract price, an advertised catering menu or one selected testimonial cannot establish that one group received better food. Control tests Sources Methods / license</t>
        </is>
      </c>
      <c r="D21" t="inlineStr">
        <is>
          <t>[{"source_id": "C37828979", "locator": "original pp. 11–14; requirements; pp. 44–46; proposal; pp. 52–54; sample menus", "physical_pdf_pages": [11, 12, 13, 14, 44, 45, 46, 52, 53, 54]}, {"source_id": "CNEWS10", "locator": "operator response on portions, menus and incoming-meal inspection", "physical_pdf_pages": []}, {"source_id": "CCALMATTERS", "locator": "resident account of insufficient meals", "physical_pdf_pages": []}, {"source_id": "CESCONDIDO", "locator": "original pp. 1–2; consent item 6 and vote", "physical_pdf_pages": [1, 2]}, {"source_id": "C37828979", "locator": "original pp. 56–58; vendor-supplied CBP references", "physical_pdf_pages": [56, 57, 58]}]</t>
        </is>
      </c>
    </row>
    <row r="22" ht="180" customHeight="1">
      <c r="A22" t="inlineStr">
        <is>
          <t>SECTION-control-meals-2026</t>
        </is>
      </c>
      <c r="B22" t="n">
        <v>21</v>
      </c>
      <c r="C22" t="inlineStr">
        <is>
          <t>Evidence findings · Verified controls · October 18, 2026 The meal award now has a final spending ceiling. HSSD The June 22, 2026 report proposes $13,112,019 for RFP 10090426-26-V: $2,544,780 in year one and $10,567,239 across four annual options. Council adopted the award on August 25, 2026 ; final passage was September 2, 2026 . Resolution R-316911 fixes the exact ceiling at $13,112,018.71 , subject to annual appropriation and CFO funding certification. Authority does not establish delivery, payment or remaining balance. Separate units in the 2026 proposal Source What it actually says Staff report, original p. 2 Approximately 580 spaces; up to two people per tent. Contract attachment, original p. 13 Capacity to prepare 1,162 meals for up to 581 individuals daily. Price proposal, original p. 94 212,065 breakfasts × $5.50 = $1,166,357.50; 212,065 dinners × $6.50 = $1,378,422.50. Annual price basis 581 × 365 = 212,065 of each meal; $2,544,780 total. It is not a census or a guarantee that all tent spaces are occupied by two people. Performance can be checked against explicit terms The attachment specifies at least 1,000 calories per adult meal and 670 per child meal , an A-rated facility, weekly meal-count notification, medical diets at the same price, responses within 24 hours and complaint resolution within 48 hours. Kitchen inspection and meal tasting carry 20 of the 100 base evaluation points; the attachment does not supply the completed scores or daily delivery results. The proposal’s County permit image for 780 Hollister Street, units 7 and 24, record DEH2024-FFPP-017715, displays May 31, 2026 expiration. The County’s live record identifies the same facility and says Permit Renewed . The image therefore does not establish non-renewal. The inspection history is examined on the next page. Disposition: the $12,723,900 vendor estimate and rounded $13,112,019 staff ceiling remain separate from the adopted amount. The one-year term and four annual options authorize a framework, not measured spending or delivered quality. This procurement is separate from the 2025 ceiling amendment. Sources: [ROWE1119606] , original pp. 1–2; proposed spending and service scope ; [ROWE1119610] , original pp. 9–10, 12–15, 63, 94; evaluation, requirements, permit image and prices ; [COUNTYROWE] , result[0]; facility identity and permit status .; [HF-ROWE-FINAL] , original pp. 1–3; final award and funding conditions. Control tests Sources Methods / license</t>
        </is>
      </c>
      <c r="D22" t="inlineStr">
        <is>
          <t>[{"source_id": "ROWE1119606", "locator": "original pp. 1–2; proposed spending and service scope", "physical_pdf_pages": [1, 2]}, {"source_id": "ROWE1119610", "locator": "original pp. 9–10, 12–15, 63, 94; evaluation, requirements, permit image and prices", "physical_pdf_pages": [9, 10, 12, 13, 14, 15, 63, 94]}, {"source_id": "COUNTYROWE", "locator": "result[0]; facility identity and permit status", "physical_pdf_pages": []}, {"source_id": "HF-ROWE-FINAL", "locator": "original pp. 1–3; exact ceiling, conditional appropriation and final passage", "physical_pdf_pages": [1, 2, 3]}]</t>
        </is>
      </c>
    </row>
    <row r="23" ht="82.5" customHeight="1">
      <c r="A23" t="inlineStr">
        <is>
          <t>SECTION-control-kitchen</t>
        </is>
      </c>
      <c r="B23" t="n">
        <v>22</v>
      </c>
      <c r="C23" t="inlineStr">
        <is>
          <t>Evidence findings · Verified controls · October 17, 2026 A grades do not erase the inspection history. HSSD The County’s SD Food Info record identifies Rowe Solutions , 780 Hollister Street, units 7 and 24, business 211974616999 / permit DEH2024-FFPP-017715. It contains ten inspections and lists the facility status as Permit Renewed. The direct County response was preserved unchanged on October 17, 2026 and matched against its name-search response. County history: material findings and subsequent inspections Date / inspection ID Recorded result April 16, 2025 7743338 · routine Ordered Closed. Major vermin; minor holding temperatures; premises/exclusion measures out of compliance. April 23, 2025 7748034 · routine 99 / A; equipment/utensil finding. May 21, 2025 7743339 · re-inspection Complete; major food-condition / safe-and-unadulterated-food finding. May 29, 2025 7768220 · re-inspection Complete; no violation entries in the response. July 2, 2025 7753806 · routine 98 / A; two equipment/utensil findings. April 7, 2026 7797001 · routine 91 / A. Major proper-cooling violation; minor holding temperatures; warewashing, thermometers and premises findings; impoundment marked Yes. April 17, 2026 7992604 · re-inspection Complete; no violation entries in the response. July 21, 2026 8064493 · site investigation Complete; no violation entries in the response. Two additional site-investigation records, April 16, 2025 (7743340) and April 7, 2026 (7988865), are Complete with no violation entries. Ungraded entries carry a zero score field and a blank grade; they are not zero-percent grades. The response contains no separate Approved to Reopen entry. Finding: documented facility safety problems alongside later favorable results. This resolves whether independent quality-related evidence exists. It does not identify which food was impounded, establish a contaminated delivery to O Lot, measure nutrition or taste, or compare treatment of homeless residents with other clients. Later grades do not erase earlier findings; earlier findings do not establish present conditions. Sources: [COUNTYROWE] , result[0].inspections; exact inspection IDs and violation classifications . Control tests Sources Methods / license</t>
        </is>
      </c>
      <c r="D23" t="inlineStr">
        <is>
          <t>[{"source_id": "COUNTYROWE", "locator": "result[0].inspections; exact inspection IDs and violation classifications", "physical_pdf_pages": []}]</t>
        </is>
      </c>
    </row>
    <row r="24" ht="46" customHeight="1">
      <c r="A24" t="inlineStr">
        <is>
          <t>SECTION-control-resident-services</t>
        </is>
      </c>
      <c r="B24" t="n">
        <v>23</v>
      </c>
      <c r="C24" t="inlineStr">
        <is>
          <t>Evidence findings · Verified controls · October 17, 2026 Resident-service records document different parts of the response. HSSD Facility checks, incident notices and benefits schedules answer different questions. A clean check does not resolve an incident report; a written response does not establish consistent access across participants. Keep the four evidence questions separate Documented record What the record does—and does not—establish Incident notice MINE-23 A May 20, 2025 08:17 email reports a May 10 stabbing at approximately 15:30: about 9 days, 16 hours, 47 minutes later. HSSD’s May 22 reminder cites a 24-hour rule and a May 21 check-in; acknowledgment follows May 23. Earlier notice is not excluded; emergency services were reportedly contacted immediately. Inspection scope MINE-24 The May 22 Tier 4 form labels the operator DSDP and records no identified concerns; the safety correspondence is Dreams for Change. The records do not establish a matching operator-area assignment. This is not proof of a false inspection. Benefits access MINE-25 City and County accounts differ on whether O/B Lot and Imperial support ended or was reduced. Both describe HRC/Golden Hall falling from five days weekly to one. The released correspondence does not establish actual schedules, completed appointments or access outcomes. Recorded force MINE-26 An August 30, 2024 Library log records a guard grabbing/pushing a man toward the lobby during a sleeping-rule removal. It is the guard’s account, not an adjudicated assault. The June 4, 2025 filename is not the incident date. Different suspension descriptions—four months in the May report and 30 days in a June 13 list—cannot be joined conclusively through redacted identities. Separate January 2023 Library correspondence concerns exterior encampments and does not establish a breach in the interior incident. Proposed control: link notices to dated responses and record service availability by operator and area. Keep facility conditions, incident disposition and participant access as separate measures. The documented City follow-up establishes selected oversight actions. Sources: [DR10] , original pp. 3, 5–6, 9–11, 18–19; identifying incident pages linked, not redistributed ; [DR04] , original p. 17; operator reporting rule ; [C34425047] , original p. 19; contract reporting rule ; [C51908446] , original p. 1; Tier 4 form ; [C47608474] , original pp. 1–2, 6–7; City/County accounts ; [C46388596] , original p. 5; guard log ; [C69442641] , original pp. 40–41; exterior-encampment correspondence . Control tests Sources Methods / license</t>
        </is>
      </c>
      <c r="D24" t="inlineStr">
        <is>
          <t>[{"source_id": "DR10", "locator": "original pp. 3, 5–6, 9–11, 18–19; identifying incident pages linked, not redistributed", "physical_pdf_pages": [3, 5, 6, 9, 10, 11, 18, 19]}, {"source_id": "DR04", "locator": "original p. 17; operator reporting rule", "physical_pdf_pages": [17]}, {"source_id": "C34425047", "locator": "original p. 19; contract reporting rule", "physical_pdf_pages": [19]}, {"source_id": "C51908446", "locator": "original p. 1; Tier 4 form", "physical_pdf_pages": [1]}, {"source_id": "C47608474", "locator": "original pp. 1–2, 6–7; City/County accounts", "physical_pdf_pages": [1, 2, 6, 7]}, {"source_id": "C46388596", "locator": "original p. 5; guard log", "physical_pdf_pages": [5]}, {"source_id": "C69442641", "locator": "original pp. 40–41; exterior-encampment correspondence", "physical_pdf_pages": [40, 41]}]</t>
        </is>
      </c>
    </row>
    <row r="25" ht="180" customHeight="1">
      <c r="A25" t="inlineStr">
        <is>
          <t>SECTION-deep-jhat-lineage</t>
        </is>
      </c>
      <c r="B25" t="n">
        <v>24</v>
      </c>
      <c r="C25" t="inlineStr">
        <is>
          <t>Evidence findings · Follow-up verification · October 17, 2026 Inspection counts need a record-level crosswalk. Validate the record before counting the checkbox Identity Date Field meaning Counting unit HSSD The complete 25-7306 release contains 149 JHAT forms and six separate fire records . Body fields disagree with four filenames: CHRT May 2025 says Newton; Imperial October 2024 says Newton; Travelodge April 2024 says Newton; O Lot Tier 2 “2.24” says February 11, 2025. The released files do not establish which conflicting site/date labels were intended. Sources: [NR51908262] , original p. 1; filename and site/date fields ; [NR51908269] , original p. 1; filename and site/date fields ; [NR51908306] , original p. 1; filename and site/date fields ; [NR51908367] , original p. 1; filename and site/date fields . Two different PDF files contain the same normalized Tier 2 February 11, 2025 inspection body. Across the series, 149 records occupy 146 distinct site/tier-month cells ; multiple records in a cell do not necessarily represent duplicate inspections. Sources: [NR51908367] , original p. 1; normalized body duplicate ; [NR51908370] , original p. 1; same body, different submission metadata . “No concerns” is not an all-clear. Field-specific checks and later counterevidence Site / field Observed sequence Imperial / fire system normal No on February 13 and March 12, 2024, despite health/safety marked No; Yes on April 9. CHRT / extinguishers expired Yes on July 16, 2024; recertification scheduled. No on August 20. All five issue categories were No in July. Sources: [NR51908272] , original p. 1; fire and issue fields ; [NR51908274] , original p. 1; fire and issue fields ; [NR51908276] , original p. 1; fire and issue fields ; [NR51908265] , original p. 1; fire and issue fields ; [NR51908266] , original p. 1; fire and issue fields . A later normal check is positive evidence, not a dated repair certificate. Recurring category flags do not prove one continuous defect. Raw “Yes” totals mix adverse issue fields with favorable “system normal” answers. License areas, inspection tiers and a public count flyer also use differing number/operator mappings; numbers alone cannot establish a wrong operator. Sources: [NR34425040] , original p. 18; licensed Area 3 ; [NR34425044] , original p. 18; licensed Areas 1 and 2 ; [RTFH-WAC2025] , original p. 2; count-site tier/operator labels . Follow-up findings Sources Methods / license</t>
        </is>
      </c>
      <c r="D25" t="inlineStr">
        <is>
          <t>[{"source_id": "NR51908262", "locator": "original p. 1; compare published filename with stated site/date", "physical_pdf_pages": [1]}, {"source_id": "NR51908269", "locator": "original p. 1; compare published filename with stated site/date", "physical_pdf_pages": [1]}, {"source_id": "NR51908306", "locator": "original p. 1; compare published filename with stated site/date", "physical_pdf_pages": [1]}, {"source_id": "NR51908367", "locator": "original p. 1; compare published filename with stated site/date", "physical_pdf_pages": [1]}, {"source_id": "NR51908367", "locator": "original p. 1; normalized body duplicate", "physical_pdf_pages": [1]}, {"source_id": "NR51908370", "locator": "original p. 1; same body, different submission metadata", "physical_pdf_pages": [1]}, {"source_id": "NR51908272", "locator": "original p. 1; fire/extinguisher and issue-category fields", "physical_pdf_pages": [1]}, {"source_id": "NR51908274", "locator": "original p. 1; fire/extinguisher and issue-category fields", "physical_pdf_pages": [1]}, {"source_id": "NR51908276", "locator": "original p. 1; fire/extinguisher and issue-category fields", "physical_pdf_pages": [1]}, {"source_id": "NR51908265", "locator": "original p. 1; fire/extinguisher and issue-category fields", "physical_pdf_pages": [1]}, {"source_id": "NR51908266", "locator": "original p. 1; fire/extinguisher and issue-category fields", "physical_pdf_pages": [1]}, {"source_id": "NR34425040", "locator": "original p. 18; licensed Area 3", "physical_pdf_pages": [18]}, {"source_id": "NR34425044", "locator": "original p. 18; licensed Areas 1 and 2", "physical_pdf_pages": [18]}, {"source_id": "RTFH-WAC2025", "locator": "original p. 2; count-site tier/operator labels", "physical_pdf_pages": [2]}]</t>
        </is>
      </c>
    </row>
    <row r="26" ht="180" customHeight="1">
      <c r="A26" t="inlineStr">
        <is>
          <t>SECTION-deep-inspections</t>
        </is>
      </c>
      <c r="B26" t="n">
        <v>25</v>
      </c>
      <c r="C26" t="inlineStr">
        <is>
          <t>Evidence findings · Follow-up verification · October 17, 2026 Repeated safety flags lack a matched closure trail. HSSD Five consecutive released 20th &amp; B forms mark health/safety concerns and call for aisles to remain clear of debris or items: March 14, April 18, May 22, June 26 and July 24, 2025 . The forms provide no explicit work-order/closure crosswalk. Sources: [NR51908355] , original p. 1; date and aisle fields ; [NR51908354] , original p. 1; date and aisle fields ; [NR51908357] , original p. 1; date and aisle fields ; [NR51908358] , original p. 1; date and aisle fields ; [NR51908359] , original p. 1; date and aisle fields . This is recurring issue-category evidence. It does not establish one uninterrupted obstruction, ignored warnings or a false inspection. Conditions can recur after cleaning; separate resolution records may exist. A later C-HRT form marks no issues after an earlier leak/rust entry, preserving evidence of a later clean check without certifying a particular repair. Sources: [NR51908266] , original p. 1; August 20, 2024 leak/rust entry ; [NR51908268] , original p. 1; September 17, 2024 later check . The City had identified a staffing risk. In May 2025 budget review, the City listed the JHAT-leading coordinator position vacant since April 19 and warned that its absence could impair facility inspections and delay responses. This is a dated risk disclosure, not proof the position remained vacant or that inspections were missed. Sources: [IBA-2025-18] , original pp. 45–46; position 31017950 and stated vacancy/inspection risk . Earlier corrective action was independently accepted. The Auditor’s December 2023 follow-up marked maintenance recommendations 3.1 and 3.2 implemented: sampled repeat issues disappeared, a procedure was documented and used, and requests were tracked and timely resolved. June 2024 confirmed that disposition. Sources: [OCA-followup-2023-12] , original pp. 31–32; implemented maintenance recommendations ; [OCA-followup-2024-06] , original p. 161; previous implementation confirmed . Use the existing maintenance process to link later flags to work orders, responsibility and dated resolution. Neither old implementation nor later recurring categories certifies every subsequent repair. Follow-up findings Sources Methods / license</t>
        </is>
      </c>
      <c r="D26" t="inlineStr">
        <is>
          <t>[{"source_id": "NR51908355", "locator": "original p. 1; stated inspection date and aisle-clearance concern", "physical_pdf_pages": [1]}, {"source_id": "NR51908354", "locator": "original p. 1; stated inspection date and aisle-clearance concern", "physical_pdf_pages": [1]}, {"source_id": "NR51908357", "locator": "original p. 1; stated inspection date and aisle-clearance concern", "physical_pdf_pages": [1]}, {"source_id": "NR51908358", "locator": "original p. 1; stated inspection date and aisle-clearance concern", "physical_pdf_pages": [1]}, {"source_id": "NR51908359", "locator": "original p. 1; stated inspection date and aisle-clearance concern", "physical_pdf_pages": [1]}, {"source_id": "NR51908266", "locator": "original p. 1; August 20, 2024 leak/rust entry", "physical_pdf_pages": [1]}, {"source_id": "NR51908268", "locator": "original p. 1; September 17, 2024 later check", "physical_pdf_pages": [1]}, {"source_id": "IBA-2025-18", "locator": "original pp. 45–46; position 31017950 and stated vacancy/inspection risk", "physical_pdf_pages": [45, 46]}, {"source_id": "OCA-followup-2023-12", "locator": "original pp. 31–32; implemented maintenance recommendations", "physical_pdf_pages": [31, 32]}, {"source_id": "OCA-followup-2024-06", "locator": "original p. 161; previous implementation confirmed", "physical_pdf_pages": [161]}]</t>
        </is>
      </c>
    </row>
    <row r="27" ht="180" customHeight="1">
      <c r="A27" t="inlineStr">
        <is>
          <t>SECTION-control-overview</t>
        </is>
      </c>
      <c r="B27" t="n">
        <v>26</v>
      </c>
      <c r="C27" t="inlineStr">
        <is>
          <t>Evidence findings · Verified controls · October 17, 2026 What the invoice-to-payment tests establish. CC A spending authorization establishes permission. It does not establish which meals arrived, which rate was payable, or whether two receipt annotations produced two payments. The following cases connect those questions to specific records. $113,091 Separate FY2025 mileage charges matched through monthly invoice totals to City AP. Written pricing authority remains unestablished. $69,785.59 Unique face value of seven supplier invoices with different receipt annotations. Not duplicate money paid. $3,158.40 May meal-line inconsistency. The quantity or the extension could be wrong; no paid loss established. Do not add these figures. They describe different periods, populations and evidentiary states. None is a certified recoverable loss or an available funding source. Sources: [BNR56369076] , original FY2025 invoice pages; complete joins in Control-Proof/urban-rate-payment-reconciliation.json ; [C51883083] , exact ZIP members and hashes in Control-Proof/supplier-receipt-verified-cases.json ; [C55184122] , original p. 1; displayed dinner fields . A concrete public return Proposed responses; no new transfer or expenditure authority Records owners Evidence that closes the test ESD + Finance Written rate authority, September correction correspondence, prior-bill review and any credit. HSSD + Finance Each invoice → receipts and reversals → AP postings and clearing → net payment disposition. HSSD + operators Staff-endorsed delivery receipts, approved menus, safety notifications, actual benefits schedules and documented responses. These controls strengthen the priced public comparison already proposed in Appendix A. They do not establish that civilian transfer performs better, ends a particular Police expense or creates shelter beds. A reconciled allocation: Circuit invoice 3379 carries two annotated allocations, $16,108.73 and $24,444.73, which sum exactly to its $40,553.46 face amount. Multiple receipt annotations can represent a split allocation; these annotations alone do not establish how either amount ultimately settled. [C55177499] , original p. 1; invoice 3379 and two PO/GR allocations . Control tests Sources Methods / license</t>
        </is>
      </c>
      <c r="D27" t="inlineStr">
        <is>
          <t>[{"source_id": "BNR56369076", "locator": "original FY2025 invoice pages; complete joins in Control-Proof/urban-rate-payment-reconciliation.json", "physical_pdf_pages": [26, 27, 28, 29, 30, 31, 32, 33, 36, 37, 39, 41, 43, 45, 47]}, {"source_id": "C51883083", "locator": "exact ZIP members and hashes in Control-Proof/supplier-receipt-verified-cases.json", "physical_pdf_pages": []}, {"source_id": "C55184122", "locator": "original p. 1; displayed dinner fields", "physical_pdf_pages": [1]}, {"source_id": "C55177499", "locator": "original p. 1; invoice 3379 and two PO/GR allocations", "physical_pdf_pages": [1]}]</t>
        </is>
      </c>
    </row>
    <row r="28" ht="171" customHeight="1">
      <c r="A28" t="inlineStr">
        <is>
          <t>SECTION-control-pricing</t>
        </is>
      </c>
      <c r="B28" t="n">
        <v>27</v>
      </c>
      <c r="C28" t="inlineStr">
        <is>
          <t>Evidence findings · Verified controls · October 17, 2026 September billing restored the contracted rates. CFO Urban Corps’ twelve FY2025 service-invoice totals reconcile by reference and amount to City AP, including split PO lines. Their separate mileage charges total $113,091 . The original contract lists $29 employee / $39 supervisor rates, bars other charges and describes equipment rates as all-inclusive; written City approval can change unit prices. Approved invoices compared with the original schedule Service / invoice Labor rates Mileage Approved total August 2025 25-02004 $30 / $40 $10,585.75 $322,679.75 September 2025 25-03004 $29 / $39 $0 $307,043 August labor is $8,425 above the original schedule; including its mileage gives a $19,010.75 comparison . The approved invoice’s mileage equals 1,841 staff hours × $5.75. This is a billing formula, not measured miles driven. Native workbook trail SEPT DETAIL!G188  =E188*29+F188*39
SEPT DETAIL!O188  Formula corrected to use contracted rates
Earlier G188      =E188*30+F188*40 The approved totals reach City accounting Invoice AP document / line Worksheet row Clearing date 25-02004 5201638068 / 2 All Data 115 October 8, 2025 25-03004 5201652219 / 2 All Data 117 November 16, 2025 ESD Finding: the billing basis changed. The September workbook explicitly restores the original contracted labor rates, and its approved invoice removes the separate mileage charge. Searches across the released contract versions and wider archive found no written approval establishing the earlier pricing basis. Approval of an invoice establishes its administrative treatment; it does not, by itself, establish the contractual authority for each charge. The comparison is not a proved recoverable overpayment. Counterevidence: January’s final approved PDF and AP agree at $266,664, below the released workbook versions. Those version differences are not measured paid overcharges. AP clearing is accounting evidence, not independent bank-settlement verification. Sources: [DR09] , original pp. 19, 85–86; price changes and schedule ; [BNR56369076] , original pp. 37, 51, 53; approved invoices ; [ABNR56369072] , All Data rows 100, 115, 117 ; [C56369069] , SEPT DETAIL!G188,O188 ; [C56369070] , SEPT DETAIL!G188, earlier version ; [C56369091] , AUG 2025 INVOICE !E36:G36 . Control tests Sources Methods / license</t>
        </is>
      </c>
      <c r="D28" t="inlineStr">
        <is>
          <t>[{"source_id": "DR09", "locator": "original pp. 19, 85–86; price changes and schedule", "physical_pdf_pages": [19, 85, 86]}, {"source_id": "BNR56369076", "locator": "original pp. 37, 51, 53; approved invoices", "physical_pdf_pages": [37, 51, 53]}, {"source_id": "ABNR56369072", "locator": "All Data rows 100, 115, 117", "physical_pdf_pages": []}, {"source_id": "C56369069", "locator": "SEPT DETAIL!G188,O188", "physical_pdf_pages": []}, {"source_id": "C56369070", "locator": "SEPT DETAIL!G188, earlier version", "physical_pdf_pages": []}, {"source_id": "C56369091", "locator": "AUG 2025 INVOICE !E36:G36", "physical_pdf_pages": []}]</t>
        </is>
      </c>
    </row>
    <row r="29" ht="37.5" customHeight="1">
      <c r="A29" t="inlineStr">
        <is>
          <t>SECTION-invoices</t>
        </is>
      </c>
      <c r="B29" t="n">
        <v>28</v>
      </c>
      <c r="C29" t="inlineStr">
        <is>
          <t>Evidence findings · FY2026 service; no job-cost or attendance claim The July Urban Corps bill matches its AP line. 229 dated native roster rows reconcile to invoice 25-01004. July 2025 component Vendor billed dollars Labor $282,100 Vehicles $33,456 Dump charges $7,640 Mileage $11,546 Total $334,742 Source: [AN06] , Sheet1; JULY 2025 H39 . Service, invoice, document, posting and clearing dates are different fields. Date / financial identifier Acquired record Service period July 2025, FY2026 Vendor invoice date August 5, 2025 City AP document 5201640474, line 2; General Fund 100000; $334,742 AP document date September 17, 2025 Posting date September 18, 2025 City-ledger clearing date September 19, 2025; clearing document 2001411595 Source: [ABNR56369072] , All Data row 116 . CFO What this proves: the selected invoice/component total agrees with this City AP line. Clearing is City accounting evidence, not independent bank confirmation, verification of actual hours or assignment to the July 28 operation. What it does not fund: this match identifies no reducible Police appropriation and no transferable balance. A task/financing bridge needs different records; the monthly vendor total is not the selected operation’s price. The acquired July route records do not identify the exact July 28 job. | One operation and its limits | FY2025 service-to-posting bridge . Reading index Sources Methods / license</t>
        </is>
      </c>
      <c r="D29" t="inlineStr">
        <is>
          <t>[{"source_id": "AN06", "locator": "Sheet1; JULY 2025 H39", "physical_pdf_pages": []}, {"source_id": "ABNR56369072", "locator": "All Data row 116", "physical_pdf_pages": []}]</t>
        </is>
      </c>
    </row>
    <row r="30" ht="161.25" customHeight="1">
      <c r="A30" t="inlineStr">
        <is>
          <t>SECTION-invoice-months</t>
        </is>
      </c>
      <c r="B30" t="n">
        <v>29</v>
      </c>
      <c r="C30" t="inlineStr">
        <is>
          <t>Evidence findings · selected twelve-month invoice/AP bridge Service and posting totals reconcile across fiscal years. CFO Month links open the approved original invoice; AP links open the native workbook. FY2025 service month Approved amount AP posting FY AP All Data row 2024-07 $266,447.00 2025 81 2024-08 $266,358.00 2025 84 2024-09 $262,277.00 2025 86 2024-10 $283,123.00 2025 92 2024-11 $242,186.85 2025 94 2024-12 $253,760.25 2025 96 2025-01 $266,664.00 2025 100 2025-02 $289,164.00 2025 102 2025-03 $261,138.00 2025 104 2025-04 $307,871.00 2025 105 2025-05 $303,586.00 2026 109, 110 2025-06 $287,418.00 2026 108 Total selected service-year value $3,289,993.10 2025 / 2026 Distinct AP lines Source: [BNR56369076] , selected approved invoice pages ; [ABNR56369072] , All Data matched rows 81–110 . 18.0% of selected service-year value posted in the following fiscal year. Posting year for the same invoices Dollars FY2025 $2,698,989.10 FY2026 $591,004.00 Total $3,289,993.10 Same selected service-year invoices; posting-year amounts reconcile to the printed total. The selection is the twelve acquired approved FY2025 service-month invoices with distinct matched AP lines. It is not all vendor spending or a cash-outflow census. Posting timing explains the fiscal-year difference; it does not establish missing invoices or excess payment. Invoice versions and the Western reconciliation | Exact joins and original-to-excerpt maps are in Evidence.zip . Reading index Sources Methods / license</t>
        </is>
      </c>
      <c r="D30" t="inlineStr">
        <is>
          <t>[{"source_id": "BNR56369076", "locator": "selected approved invoice pages", "physical_pdf_pages": [26, 27, 28, 29, 30, 31, 32, 33, 36, 37, 39, 41, 43, 45, 47]}, {"source_id": "ABNR56369072", "locator": "All Data matched rows 81–110", "physical_pdf_pages": []}]</t>
        </is>
      </c>
    </row>
    <row r="31" ht="180" customHeight="1">
      <c r="A31" t="inlineStr">
        <is>
          <t>SECTION-invoice-questions</t>
        </is>
      </c>
      <c r="B31" t="n">
        <v>30</v>
      </c>
      <c r="C31" t="inlineStr">
        <is>
          <t>Evidence findings · approved amounts differ from working-sheet totals Native versions explain the printed differences. Resolved versions do not establish duplicate or excess payment. Record version Reconciled result March cached face $261,092 Approved/AP $261,138; the earlier cached amount is $46 lower. [AN02] , MARCH 2025 DETAIL / MARCH 25 INVOICE May repeated worksheet blocks Billing SUM selection excludes obsolete rows; naive full-row sum overstates $28,680. [AN04] , CorpsNET_CrewRoster_DETAIL; SUM selection June working detail $290,298 Approved/AP $287,418 after $2,880 vehicle changes. [AN05] , june 25 corpsnet; approved vehicle revision November 2024 invoice, original p. 32. Two unaltered source crops: headings and Western row; intervening rows omitted. Full source page is packaged. Author transcription and arithmetic; not an established payable amount. Transcribed role Hours Hourly rate Hours × rate Corpsmember 880 $30.00 $26,400 Supervisor 344 $40.00 $13,760 Source: [BNR56369076] , original p. 32; Western row and headings . ESD $40,160 calculated − $37,870 printed = $2,290. The native files now explain this presentation gap: the edited summary points to other rows, while Western detail totals 304 supervisor hours. The next page follows those cells. Neither difference is an established payable adjustment. Reading index Sources Methods / license</t>
        </is>
      </c>
      <c r="D31" t="inlineStr">
        <is>
          <t>[{"source_id": "AN02", "locator": "MARCH 2025 DETAIL / MARCH 25 INVOICE", "physical_pdf_pages": []}, {"source_id": "AN04", "locator": "CorpsNET_CrewRoster_DETAIL; SUM selection", "physical_pdf_pages": []}, {"source_id": "AN05", "locator": "june 25 corpsnet; approved vehicle revision", "physical_pdf_pages": []}, {"source_id": "BNR56369076", "locator": "original p. 32; Western row and headings", "physical_pdf_pages": [32]}]</t>
        </is>
      </c>
    </row>
    <row r="32" ht="76.75" customHeight="1">
      <c r="A32" t="inlineStr">
        <is>
          <t>SECTION-november-formulas</t>
        </is>
      </c>
      <c r="B32" t="n">
        <v>31</v>
      </c>
      <c r="C32" t="inlineStr">
        <is>
          <t>Evidence findings · native versions, exact cells and a bounded finding Native formulas explain the supervisor-hour gap. Audit The two November workbooks have materially different formulas. The DM edits version matches the AP month total of $242,186.85; that match does not validate the component cells. Preserve both versions. The vehicle subtotal also belongs to other crews. DM edits: NOV INV 2024 Retained formula / verified inputs Result E23, Western supervisor hours Formula in the technical note below: rate-header E18 = 40; Downtown E19 = 160 and E20 = 144. 344; not Western’s detailed hours. F23, Western labor Formula in the technical note below: Downtown labor F19 = $19,150 and F20 = $18,720. $37,870; subtotal of those crews. J23, Western vehicles Formula in the technical note below: Downtown J19 = $4,800 and J20 = $4,320. Western’s own 160/144 hours at $30/$12 produce $6,528. $9,120; $2,592 above its own inputs. NOV 2024 detail, E45:F80 880 corpsmember hours and 304 supervisor hours. At summary rates: 880 × $30 + 304 × $40. $38,560; $690 above printed labor. Source: [DR13] , NOV INV 2024 E18:K23, M37; NOV 2024 E45:F81 . Native formula note · DM edits, NOV INV 2024 E23  =SUBTOTAL(9,E5:E22)
F23  =SUBTOTAL(9,F5:F22)
J23  =SUBTOTAL(9,J5:J22)
E18  40  (rate header included in E23) The original-labeled version has 304 supervisor hours, $38,560 labor and $6,528 vehicle cost. Its month total is $238,573.05. Source: [DR14] , NOV INV 2024 D23:M23, M37; NOV 2024 E45:F81 . The invoice uses 160 large-vehicle and 184 stakebed hours: $7,008 versus $9,120 printed, a $2,112 vehicle gap. Labor and vehicle differences oppose; combined charges are $178 below the displayed-input calculation. The $242,186.85 total matches AP document 5201554897, line 2, reference 24-05110. Source: [BNR56369076] , original pp. 32–33; Western row and month total ; [ABNR56369072] , All Data row 94; reference 24-05110 . Labor gap: $1,600 from 40 extra displayed supervisor hours plus $690 from the detail-hour calculation. The $3,613.80 increase between monthly versions also includes other crews and components; do not sum these differences as losses. R10 · Final finding: native formulas explain the displayed gap. Attendance, contractual eligibility, knowledge, intent and a recoverable amount are not established. The proposed Day 60 return addresses time, fleet, revisions, approvals, posting and later adjustments. No reconciliation request was sent; this is a records finding, not a vendor admission or approved adjustment. Reading index Sources Methods / license</t>
        </is>
      </c>
      <c r="D32" t="inlineStr">
        <is>
          <t>[{"source_id": "DR13", "locator": "NOV INV 2024 E18:K23, M37; NOV 2024 E45:F81", "physical_pdf_pages": []}, {"source_id": "DR14", "locator": "NOV INV 2024 D23:M23, M37; NOV 2024 E45:F81", "physical_pdf_pages": []}, {"source_id": "BNR56369076", "locator": "original pp. 32–33; Western row and month total", "physical_pdf_pages": [32, 33]}, {"source_id": "ABNR56369072", "locator": "All Data row 94; reference 24-05110", "physical_pdf_pages": []}]</t>
        </is>
      </c>
    </row>
    <row r="33" ht="180" customHeight="1">
      <c r="A33" t="inlineStr">
        <is>
          <t>SECTION-deep-invoice-lineage</t>
        </is>
      </c>
      <c r="B33" t="n">
        <v>32</v>
      </c>
      <c r="C33" t="inlineStr">
        <is>
          <t>Evidence findings · Follow-up verification · October 17, 2026 Approved invoices correct two native draft errors. Trace the version that reached accounting Working draft Identify the erroneous range or cache Approved invoice Use the corrected final amount City AP Match the invoice reference and line CFO All 26 approved Urban Corps invoice totals match the supplied AP lines. Eighteen have at least one matching supplied native total; eight do not. That failed final-version join identifies missing support, not eight overpayments. Trace the draft through the correction and AP Version relationship Observed outcome August 2024 / wrong subtotal range Eastern dump total included the preceding Central subtotal of $1,992. The edited workbook excludes it. Other adjustments leave a net $1,953.67 reduction to $266,358. March 2025 / stale external link A February mileage cache of $874 becomes $920 in the approved March bill: 160 supervisor hours × $5.75. The corrected total is $261,138. Sources: [NR56369088] , AUGUST 2024!J164=SUM(J141:J163); J141 preceding Central total ; [NR56369089] , AUGUST 2024!J164=SUM(J142:J163); edited invoice total ; [AN02] , MARCH 25 INVOICE!G20 and mileage source; retained February link/cache ; [BNR56369076] , original pp. 27, 41; approved August/March invoices ; [ABNR56369072] , All Data; invoice references 24-02110 and 24-09110, amounts and clearing fields . Correct arithmetic can still point to the wrong source. July 2025 Western supervisor hours point to Southern’s subtotal; both happen to equal 352, so the wrong reference has no observed amount effect. A retained May sheet in June workbooks instead repeats April’s $307,871, not approved May’s $303,586. It is not an additional payable invoice. The formula screen tested 41,022 supported formulas against stored operands without an unexplained numeric mismatch. It separately classified stored errors and unsupported/external formulas. Such a test cannot establish that a formula selected the correct crew, period or authorized rate. The reproducible version and dependency ledgers preserve the source paths, cell changes, approved amounts and final invoices without a matching supplied native total. None of the three selected AP extracts contains Circuit or United supplier rows; those extracts cannot resolve the separate seven multiple-receipt cases. Follow-up findings Sources Methods / license</t>
        </is>
      </c>
      <c r="D33" t="inlineStr">
        <is>
          <t>[{"source_id": "NR56369088", "locator": "AUGUST 2024!J164=SUM(J141:J163); J141 preceding Central total", "physical_pdf_pages": []}, {"source_id": "NR56369089", "locator": "AUGUST 2024!J164=SUM(J142:J163); edited invoice total", "physical_pdf_pages": []}, {"source_id": "AN02", "locator": "MARCH 25 INVOICE!G20 and mileage source; retained February link/cache", "physical_pdf_pages": []}, {"source_id": "BNR56369076", "locator": "original pp. 27, 41; approved August/March invoices", "physical_pdf_pages": [27, 41]}, {"source_id": "ABNR56369072", "locator": "All Data; invoice references 24-02110 and 24-09110, amounts and clearing fields", "physical_pdf_pages": []}]</t>
        </is>
      </c>
    </row>
    <row r="34" ht="180" customHeight="1">
      <c r="A34" t="inlineStr">
        <is>
          <t>SECTION-control-receipts</t>
        </is>
      </c>
      <c r="B34" t="n">
        <v>33</v>
      </c>
      <c r="C34" t="inlineStr">
        <is>
          <t>Evidence findings · Verified controls · October 17, 2026 Seven invoice groups carry multiple receipt annotations. CFO Twenty-two Circuit files represent 20 invoice numbers. The United Site Services archive contains 375 PDF members and 367 first invoice numbers. Seven invoice numbers have copies bearing different City goods-receipt annotations; four United cases repeat the same annotated PO, amount and service period. Verified annotations; each face amount counted once Supplier / invoice Face amount Printed receipt annotations PO comparison Circuit 3162 $35,979.24 5001534984 500155463 Different POs Circuit 3227 $32,559.76 5001543556 5001555465 Different POs United 114-13821108 $199.49 5001505230 5001512891 Different POs United 114-13795126 $772.17 5001500947 5001501227 Same PO United 114-14038183 $63.83 5001643454 5001646591 Same PO United 114-14074905 $105.55 5001666472 5001669353 Same PO United 114-13992864 $105.55 5001610731 5001611169 Same PO Circuit 3162’s second copy prints the nine-digit 500155463; its filename says 5001555463. Both are retained. The $772.17 copies are dated March 8 and March 11, 2024; the O Lot $105.55 pair is dated January 2 and January 3. $69,785.59 is the unique face value under review. Receipt reversal, rebooking or allocation can explain multiple numbers. Distinct annotations do not establish distinct SAP records, duplicate settlement, vendor resubmission or intent. Disposition: receipt annotations confirmed; duplicate payment not established. The 1,445-line HSSD payment screen contains no matching direct-supplier entries; wider searches located no reversal/settlement bridge. The amount is excluded from loss totals. The proof preserves exact ZIP members and hashes; the released ZIP is included unchanged. Sources: [C55177515] , original p. 1; Circuit 3162 ; [C55177518] , original p. 1; second Circuit 3162 copy ; [C55177508] , original p. 1; Circuit 3227 ; [C55177520] , original p. 1; second Circuit 3227 copy ; [C51883083] , five United invoice groups; exact ZIP member map in the proof . Control tests Sources Methods / license</t>
        </is>
      </c>
      <c r="D34" t="inlineStr">
        <is>
          <t>[{"source_id": "C55177515", "locator": "original p. 1; Circuit 3162", "physical_pdf_pages": [1]}, {"source_id": "C55177518", "locator": "original p. 1; second Circuit 3162 copy", "physical_pdf_pages": [1]}, {"source_id": "C55177508", "locator": "original p. 1; Circuit 3227", "physical_pdf_pages": [1]}, {"source_id": "C55177520", "locator": "original p. 1; second Circuit 3227 copy", "physical_pdf_pages": [1]}, {"source_id": "C51883083", "locator": "five United invoice groups; exact ZIP member map in the proof", "physical_pdf_pages": []}]</t>
        </is>
      </c>
    </row>
    <row r="35" ht="108.75" customHeight="1">
      <c r="A35" t="inlineStr">
        <is>
          <t>SECTION-control-rowe-authority</t>
        </is>
      </c>
      <c r="B35" t="n">
        <v>34</v>
      </c>
      <c r="C35" t="inlineStr">
        <is>
          <t>Evidence findings · Verified controls · October 17, 2026 Added capacity explains the meal-ceiling increase. CC Council authorized the increase. Resolution R-316360 authorized a $2,600,000 increase from $3,000,000 to $5,600,000. Council voted July 22, 2025; final passage was July 31. Compensation authority Original ceiling $3,000,000 + Approved increase $2,600,000 = Approved ceiling $5,600,000 Staff projected spending · different period basis Through FY2025 $2,600,000 + FY2026 $3,000,000 = Projected cumulative $5,600,000 The staff report ties the increase to added capacity The July 3 staff report supplies the fiscal explanation: about $2,600,000 through FY2025 + $3,000,000 in FY2026 = $5,600,000 , against the former $3,000,000 ceiling. It ties the increased demand to 182 additional O Lot spaces , approximately 581 total spaces , with up to two people per tent. These are staff spending projections, not measured deliveries or a food-quality assessment. Timing resolves the original gross comparison HSSD The 23 released invoices total $3,476,602.97 . The first invoice crossing the original $3,000,000 gross comparison—July invoice 241, $195,706.33—was issued August 1, after final passage. The preceding cumulative total was $2,877,500.85; including that invoice gives $3,073,207.18. $2,123,397.03 below the approved ceiling is arithmetic, not a certified remaining balance. The invoice collection includes tax and December 2023 services before the January 2, 2024 effective date. A February 2026 PO is a commitment, not an extra payment. Invoice issue dates do not establish commitment or settlement dates. The June 23 Comptroller’s certificate identifies $2,600,000 in General Fund 100000, cost center 1716000011, GL 512059. The Council-filed amendment bears the vendor’s May 15 signature; City and City Attorney signature fields are blank. Its template footer date is not the amendment’s execution date. No balance or retroactivity finding is made. Sources: [CR316360] , original pp. 1–2, 5; authority and vote ; [ROWE999688] , original pp. 1–2; demand and fiscal projections ; [ROWE999690] , original p. 1; certificate 3000017848 ; [ROWE999693] , original pp. 1–2; amendment and signature fields ; [C55184143] , original p. 1; July invoice 241 . Reproduce the 23-invoice comparison using Control-Proof/rowe-authorization-reconciliation.json and Control-Proof/rowe-invoices.csv . It does not certify a transferable police balance. Control tests Sources Methods / license</t>
        </is>
      </c>
      <c r="D35" t="inlineStr">
        <is>
          <t>[{"source_id": "CR316360", "locator": "original pp. 1–2, 5; authority and vote", "physical_pdf_pages": [1, 2, 5]}, {"source_id": "ROWE999688", "locator": "original pp. 1–2; demand and fiscal projections", "physical_pdf_pages": [1, 2]}, {"source_id": "ROWE999690", "locator": "original p. 1; certificate 3000017848", "physical_pdf_pages": [1]}, {"source_id": "ROWE999693", "locator": "original pp. 1–2; amendment and signature fields", "physical_pdf_pages": [1, 2]}, {"source_id": "C55184143", "locator": "original p. 1; July invoice 241", "physical_pdf_pages": [1]}]</t>
        </is>
      </c>
    </row>
    <row r="36" ht="140.75" customHeight="1">
      <c r="A36" t="inlineStr">
        <is>
          <t>SECTION-control-meal-line</t>
        </is>
      </c>
      <c r="B36" t="n">
        <v>35</v>
      </c>
      <c r="C36" t="inlineStr">
        <is>
          <t>Evidence findings · Verified controls · October 17, 2026 The May dinner line contains an arithmetic inconsistency. CFO Rowe’s May 2025 invoice 18 contains a reproduced dinner-line discrepancy. The original printed fields are preserved below; the correct delivered quantity remains unestablished. Unaltered source crop · invoice 18, May 1–31, 2025. Breakfast: 19,230 at $4.61, printed $88,650.30. Dinner: 18,670 at $5.64, printed $108,457.20. The live calculation below tests the dinner fields. May dinner line; displayed fields versus multiplication Quantity shown Rate shown Extension printed Quantity × rate Difference 18,670 $5.64 $108,457.20 $105,298.80 $3,158.40 Quantity carried forward The printed extension equals 19,230 × $5.64, using May’s breakfast count. April used 18,670 for both meals. An unrevised May dinner-quantity field could leave the charge correct. Extension copied incorrectly If 18,670 dinners is the correct quantity, multiplying by $5.64 gives $105,298.80. Using the breakfast count in the dinner extension would create the $3,158.40 inconsistency. The invoice does not decide between these explanations. The difference does not establish undelivered dinners, a paid overcharge, intent or theft. The contract already specifies the evidence Original contract p. 14 requires staff-endorsed delivery receipts to accompany invoices. Proposed control: match receipts to quantities and service dates, identify the incorrect field, and link any correction or credit to the approved invoice and invoice-specific payment. Disposition: a face-of-invoice inconsistency, excluded from paid-loss calculations. The invoice-only release did not request delivery receipts, and the wider search located no matched receipt or correction. This is not evidence that the City lacked receipts. The report makes no undelivered-meal or paid-overcharge finding. Sources: [C55184122] , original p. 1; May invoice 18 ; [C55184131] , original p. 1; April invoice 17 ; [C37828979] , original pp. 14, 17–18; receipts, invoicing and price changes . The original printed inputs, reproduced arithmetic and limits are retained in Control-Proof/Canonical-Control-Claims.json , MINE-29. No hypothetical tax adjustment is presented as a measured loss. Control tests Sources Methods / license</t>
        </is>
      </c>
      <c r="D36" t="inlineStr">
        <is>
          <t>[{"source_id": "C55184122", "locator": "original p. 1; May invoice 18", "physical_pdf_pages": [1]}, {"source_id": "C55184131", "locator": "original p. 1; April invoice 17", "physical_pdf_pages": [1]}, {"source_id": "C37828979", "locator": "original pp. 14, 17–18; receipts, invoicing and price changes", "physical_pdf_pages": [14, 17, 18]}]</t>
        </is>
      </c>
    </row>
    <row r="37" ht="94.5" customHeight="1">
      <c r="A37" t="inlineStr">
        <is>
          <t>SECTION-deep-meal-duty</t>
        </is>
      </c>
      <c r="B37" t="n">
        <v>36</v>
      </c>
      <c r="C37" t="inlineStr">
        <is>
          <t>Evidence findings · Follow-up verification · October 17, 2026 Separate site contracts assign separate meal duties. The operative meal duty is site-specific 20th &amp; B Contractor: one meal and one snack daily O Lot City-provided two-meal clause Amendment chain Preserve terms not actually replaced HSSD The apparent 20th &amp; B meal-duty conflict is closed. Its original executed scope requires the contractor to provide one meal and one snack daily. The City-provided two-meal clause belongs to the separate O Lot agreement. Applying that clause to 20th &amp; B was a source-identity error. Sources: [NR35389114] , original p. 5; Exhibit A, D.3.b.1 ; [C34425047] , original pp. 15–16; O Lot City-provided meals and distribution clauses . The First Amendment does not replace the meal duty. The Second changes capacity, and the Third changes outcomes while preserving other provisions. The acquired chain supplies no basis for assuming that the original meal obligation disappeared. Sources: [NR64725515] , original pp. 1–3; 20th &amp; B First Amendment ; [NR41965641] , original pp. 1–5; 20th &amp; B Second Amendment ; [C64725518] , original pp. 1–4; 20th &amp; B Third Amendment . The FY2026 continuation is documented. The 20th &amp; B and O Lot Third Amendments recite the May 19, 2025 exercise of the July 2025–June 2026 option. City and attorney execution occurred July 23, 2025. Outcome changes apply after full execution; their presence does not establish retroactive July 1 targets. Sources: [C64725518] , original pp. 1–4; term, signatures and effective-date clause ; [C64725511] , original pp. 1–4; O Lot term and execution . Later amendment recitals transpose the increase. R-315452 and the First Amendment correctly state the increase as $487,791 . Second and Third Amendment recitals instead print $478,791 , while retaining the correct cumulative $1,432,718 . The discrepancy belongs to those later recitals, not the resolution; it does not establish a $9,000 loss. Sources: [R-315452] , original pp. 2, 4; correct increase ; [NR41965641] , original p. 1, recital 2; transposed amount ; [C64725518] , original p. 1, recital 2; repeated transposition . The contract chain establishes the site-specific meal duty; it does not validate the requested rate, delivered quantities, acceptance or site-level payment. A recurring 150 × days × $10 request pattern is not proof of attendance or meals delivered. Follow-up findings Sources Methods / license</t>
        </is>
      </c>
      <c r="D37" t="inlineStr">
        <is>
          <t>[{"source_id": "NR35389114", "locator": "original p. 5; Exhibit A, D.3.b.1", "physical_pdf_pages": [5]}, {"source_id": "C34425047", "locator": "original pp. 15–16; O Lot City-provided meals and distribution clauses", "physical_pdf_pages": [15, 16]}, {"source_id": "NR64725515", "locator": "original pp. 1–3; 20th &amp; B First Amendment", "physical_pdf_pages": [1, 2, 3]}, {"source_id": "NR41965641", "locator": "original pp. 1–5; 20th &amp; B Second Amendment", "physical_pdf_pages": [1, 2, 3, 4, 5]}, {"source_id": "C64725518", "locator": "original pp. 1–4; 20th &amp; B Third Amendment", "physical_pdf_pages": [1, 2, 3, 4]}, {"source_id": "C64725518", "locator": "original pp. 1–4; term, signatures and effective-date clause", "physical_pdf_pages": [1, 2, 3, 4]}, {"source_id": "C64725511", "locator": "original pp. 1–4; O Lot term and execution", "physical_pdf_pages": [1, 2, 3, 4]}, {"source_id": "R-315452", "locator": "original pp. 2, 4; correct increase", "physical_pdf_pages": [2, 4]}, {"source_id": "NR41965641", "locator": "original p. 1, recital 2; transposed amount", "physical_pdf_pages": [1]}, {"source_id": "C64725518", "locator": "original p. 1, recital 2; repeated transposition", "physical_pdf_pages": [1]}]</t>
        </is>
      </c>
    </row>
    <row r="38" ht="78.75" customHeight="1">
      <c r="A38" t="inlineStr">
        <is>
          <t>SECTION-control-budgets</t>
        </is>
      </c>
      <c r="B38" t="n">
        <v>37</v>
      </c>
      <c r="C38" t="inlineStr">
        <is>
          <t>Evidence findings · Verified controls · October 17, 2026 A line variance is not a spent-out contract. CFO Dreams for Change’s April 2026 requests remain below the released annual site totals. This request-to-budget comparison does not support a whole-site exhaustion finding; line-budget authority and year-to-date adjustments require separate evidence. April positions against the released annual budgets Site Annual total April YTD Headroom 20th &amp; B $1,900,450.73 $1,527,187.19 $373,263.54 O Lot $3,178,654.26 $2,531,270.62 $647,383.64 Released individual lines still exceed their annual line budgets, including meals by $60,915 and O Lot fringe by $73,682.53 . Site headroom does not itself authorize a transfer between lines. These are variances against the released budgets, not established noncompliance. Year-to-date chains also need the same basis The April chain differences reproduce to $51,640.12 + $59,390.07 = $111,030.19 . The following page traces the historical expense components and accounts for the numerical difference. They are YTD adjustments, not measured unapproved payments or losses. The wider-archive 20th &amp; B Third Amendment retains the $1,900,450.73 option-period total and changes outcomes. O Lot’s Third Amendment changes outcomes and recites a prior multi-year increase. Neither acquired amendment approves the particular April line transfers. Finding: released requests remain below annual site totals. The amendments do not establish particular line-transfer approvals, so the report records line variances without labeling them unauthorized spending. The historical-cost bridge identifies the released source of the April adjustments. Sources: [C64090984] , original pp. 2–3; March YTD columns ; [C64091015] , original p. 1; April 20th &amp; B request ; [C64091016] , original p. 1; April O Lot request ; [C64725518] , original pp. 1, 3; 20th &amp; B Third Amendment ; [C64725511] , original pp. 1, 3; O Lot Third Amendment . Control-Proof/rfr-reconciliation-checks.json preserves the arithmetic. The original policy model and $2.2 million illustrative comparison ceiling remain unchanged; these variances do not create funding for that model. The published timing evidence: the City says that $10.3 million of HHAP Round 6 was budgeted in FY2026; the June state snapshot reports zero Round 6 obligations and expenditure. These records identify planned grant activity that had not appeared in the state expenditure return. The City’s rounded allocation does not supply a cent-level allocation of the entire $11,319,651 budget-to-actual difference. Neither presentation establishes unrestricted cash available for a Police transfer. Sources: [BK08] , original pp. 56–57; Round 6 allocation and budget-to-actual funding table ; [HCD-FISCAL-SNAPSHOT] , HHAP 6!F16:U16; June obligations and expenditures . Control tests Sources Methods / license</t>
        </is>
      </c>
      <c r="D38" t="inlineStr">
        <is>
          <t>[{"source_id": "C64090984", "locator": "original pp. 2–3; March YTD columns", "physical_pdf_pages": [2, 3]}, {"source_id": "C64091015", "locator": "original p. 1; April 20th &amp; B request", "physical_pdf_pages": [1]}, {"source_id": "C64091016", "locator": "original p. 1; April O Lot request", "physical_pdf_pages": [1]}, {"source_id": "C64725518", "locator": "original pp. 1, 3; 20th &amp; B Third Amendment", "physical_pdf_pages": [1, 3]}, {"source_id": "C64725511", "locator": "original pp. 1, 3; O Lot Third Amendment", "physical_pdf_pages": [1, 3]}, {"source_id": "BK08", "locator": "original pp. 56–57; Round 6 allocation and budget-to-actual funding table", "physical_pdf_pages": [56, 57]}, {"source_id": "HCD-FISCAL-SNAPSHOT", "locator": "HHAP 6!F16:U16; June obligations and expenditures", "physical_pdf_pages": []}]</t>
        </is>
      </c>
    </row>
    <row r="39" ht="58.25" customHeight="1">
      <c r="A39" t="inlineStr">
        <is>
          <t>SECTION-control-priorperiod</t>
        </is>
      </c>
      <c r="B39" t="n">
        <v>38</v>
      </c>
      <c r="C39" t="inlineStr">
        <is>
          <t>Evidence findings · Verified controls · October 17, 2026 Deferred June costs explain the April reimbursement jump. CFO Four City adjustment forms explain why June 2025 costs entered July requests: available PO balances limited the June requests. The deferred amounts were $57,519.32 at 20th &amp; B + $68,162 = $125,681.32 . July forms explicitly add those amounts to new requests. Unaltered City note · original p. 28: $57,519.32 to the next reimbursement. The July addition appears on original p. 38. City request adjustments; not a claim of July settlement Site June request June adjusted July request July adjusted 20th &amp; B $130,739.04 $73,219.72 $144,301.22 $201,820.54 O Lot $253,633.63 $185,471.63 $192,933.81 $261,095.81 The April restatement has an identifiable source Seven positive April YTD increments exactly match the deferred June direct costs: B Lot water $1,762.13, supplies $984.87 and meals $45,000; O Lot supplies $5,652.20, phone $393.44, cart repair $289 and subcontractors $47,656.34. Complete numerical bridge to the April YTD change Component Amount Seven exact positive direct-cost matches $101,737.98 B Lot phone increment (June component: +$198.57) −$801.43 April administration increments: $4,694.55 + $5,399.09 $10,093.64 April YTD change: $51,640.12 + $59,390.07 $111,030.19 The difference from the $125,681.32 deferral is fully accounted for numerically: July carried $23,744.77 of administration versus April’s $10,093.64, plus the separate $1,000 phone difference: $14,651.13 . Historical source located; duplicate payment not established. June adjusted amounts match AP documents 5201618816 and 5201618818: June 30 posting, July 8 document dates, August 7 clearing. Fiscal posting year and cash-clearing year differ. These records do not certify April’s accounting recognition or establish settlement of the July adjusted requests. Sources: [C64725401] , original pp. 28–29, 38–39; City June/July adjustment forms ; [C64027654] , original p. 14; June adjusted amounts and accounting dates . Line bridge ; YTD increments are not added to April’s face monthly request. Control tests Sources Methods / license</t>
        </is>
      </c>
      <c r="D39" t="inlineStr">
        <is>
          <t>[{"source_id": "C64725401", "locator": "original pp. 28–29, 38–39; City June/July adjustment forms", "physical_pdf_pages": [28, 29, 38, 39]}, {"source_id": "C64027654", "locator": "original p. 14; June adjusted amounts and accounting dates", "physical_pdf_pages": [14]}]</t>
        </is>
      </c>
    </row>
    <row r="40" ht="106.25" customHeight="1">
      <c r="A40" t="inlineStr">
        <is>
          <t>SECTION-deep-accounting</t>
        </is>
      </c>
      <c r="B40" t="n">
        <v>39</v>
      </c>
      <c r="C40" t="inlineStr">
        <is>
          <t>Evidence findings · Follow-up verification · October 17, 2026 Service, posting and grant periods produce different totals. Choose the accounting clock before computing a comparison Service period When the work was delivered Posting year When City accounting recognized it Clearing date City accounting; not independent bank evidence CFO Posting year is not clearing year or service year. Refiltering the same acquired payment extract changes the operator comparisons below. The outcome denominators are the existing FY2025 APR counts; they do not turn either payment selection into certified service-year costs. Same program cost objects; two accounting-date selections Program SAP posting FY2025 Cleared July 2024–June 2025 DSDP O Lot $1,992,106.17 $42,385 / permanent exit $1,926,436.67 $40,988 / permanent exit DfC O Lot $2,399,404.22 $33,325 / permanent exit $2,499,572.46 $34,716 / permanent exit DfC 20th &amp; B $1,402,837.85 $35,071 / permanent exit $1,148,857.14 $28,721 / permanent exit JFS Safe Parking $2,614,791.39 $9,980 / permanent exit $2,298,063.03 $8,771 / permanent exit Sources: [C64027654] , original pp. 1–14; exact vendor/cost-object selections and row bridges in period-basis-reconciliation.json . Both columns omit City-paid ancillary costs. Clearing is City accounting evidence, not independent bank settlement. Neither comparison establishes savings, a paid overcharge or a causal program advantage. Cross-program comparisons also need matched populations and service periods. A different period also changes a cap test. DSDP O Lot’s cumulative posted $2,747,670.77 combines FY2024’s $755,564.60 and FY2025’s $1,992,106.17. Council approved expanded authority in October 2024, before the former initial-cap crossing. The staff report identifies a FY2025 limit of $2,121,693.31, leaving the acquired FY2025 posting selection $129,587.14 below it. Sources: [R-315810] , original pp. 1–3, 5–6; approval, term and authority ; [Docket931911] , original pp. 2–3; FY2025 expenditure limit . The resolution establishes expanded authority before the former initial cap was crossed. The docket amendment copy has vendor signatures but blank City/attorney fields; it does not certify final execution, service delivery or bank settlement. Follow-up findings Sources Methods / license</t>
        </is>
      </c>
      <c r="D40" t="inlineStr">
        <is>
          <t>[{"source_id": "C64027654", "locator": "original pp. 1–14; exact vendor/cost-object selections and row bridges in period-basis-reconciliation.json", "physical_pdf_pages": [1, 2, 3, 4, 5, 6, 7, 8, 9, 10, 11, 12, 13, 14]}, {"source_id": "R-315810", "locator": "original pp. 1–3, 5–6; approval, term and authority", "physical_pdf_pages": [1, 2, 3, 5, 6]}, {"source_id": "Docket931911", "locator": "original pp. 2–3; FY2025 expenditure limit", "physical_pdf_pages": [2, 3]}]</t>
        </is>
      </c>
    </row>
    <row r="41" ht="180" customHeight="1">
      <c r="A41" t="inlineStr">
        <is>
          <t>SECTION-deep-funding</t>
        </is>
      </c>
      <c r="B41" t="n">
        <v>40</v>
      </c>
      <c r="C41" t="inlineStr">
        <is>
          <t>Evidence findings · Follow-up verification · October 17, 2026 The grant balance includes committed funding. CFO The newly acquired HCD fiscal snapshot advances the December 2025 annual report. Its latest summaries show City HHAP 1–4 fully expended. The figures below use HHAP 5 activity through June 30, 2026 ; the latest-report column is labeled submitted as of July 31. HHAP 5; cumulative award accounting, not a bank balance Measure State-reported amount Award $29,918,593.27 Obligated $24,968,454.69 Expended $20,264,374.98 (67.7% of award) Unexpended $9,654,218.29 Of that, already obligated $4,704,079.71 Not yet obligated $4,950,138.58 Cumulative accounting states overlap. Award, obligation and expenditure are not additive resources. HHAP 6 reports zero June obligations and expenditures against a $25,844,167.11 award. These are restricted, self-reported grant measures. Unexpended awards include commitments and are not transferable General Fund cash. The City’s FY2026 budget-to-actual table is a different accounting presentation from these cumulative grant-round balances. Sources: [HCD-FISCAL-SNAPSHOT] , HHAP 5!I16:X16; HHAP 6!F16:U16; monthly dates in row 5; HHAP 1 June 2026 cells are Not Submitted . The December 2025 HHAP 5 expenditure was 43.9% of its award , or 55.0% of obligations. Those denominators answer different questions; neither ratio alone establishes deadline compliance. Sources: [DR18] , original pp. 1, 43; award and annual fiscal totals . The City budget table uses a different basis. It reports FY2026 HHAP funding of $24,350,665 adopted and $13,031,014 at year-end , a $11,319,651 difference. HSSD’s expenditure and funding-source tables each add correctly but differ by $2,332 in their General Fund totals; the published source does not explain the different presentation. Neither difference establishes unrestricted cash. Sources: [BK08] , original pp. 55–57; funding and expenditure tables . A spreadsheet row is not necessarily a transaction. The state annual workbook repeats Safe Parking fiscal amounts under multiple site addresses. Its 101 rows contain 84 distinct round/activity/contractor/amount combinations. Counting each once reproduces all five annual-report obligation and expenditure totals to the cent; summing every row overstates expenditure by $12,633,601.29. Sources: [HCD-HHAP-ANNUAL-XLSX] , San Diego!A1:Q102; repeated-address groups and exact annual reconciliation in Deep-Research-Proof . This is a demonstrated non-additive reporting structure, not duplicate disbursements. The exact grouping is a reconciliation for this dataset, not a general payment-deduplication rule. State HMIS participation also supplies a minimum linkage control; it does not certify complete coverage or unique people across projects. [HCD-COMPLIANCE] , ReadMe!B11,B12,B21; City participation rows 102,185–187,226 . Follow-up findings Sources Methods / license</t>
        </is>
      </c>
      <c r="D41" t="inlineStr">
        <is>
          <t>[{"source_id": "HCD-FISCAL-SNAPSHOT", "locator": "HHAP 5!I16:X16; HHAP 6!F16:U16; monthly dates in row 5; HHAP 1 June 2026 cells are Not Submitted", "physical_pdf_pages": []}, {"source_id": "DR18", "locator": "original pp. 1, 43; award and annual fiscal totals", "physical_pdf_pages": [1, 43]}, {"source_id": "BK08", "locator": "original pp. 55–57; funding and expenditure tables", "physical_pdf_pages": [55, 56, 57]}, {"source_id": "HCD-HHAP-ANNUAL-XLSX", "locator": "San Diego!A1:Q102; repeated-address groups and exact annual reconciliation in Deep-Research-Proof", "physical_pdf_pages": []}, {"source_id": "HCD-COMPLIANCE", "locator": "ReadMe!B11,B12,B21; City participation rows 102,185–187,226", "physical_pdf_pages": []}]</t>
        </is>
      </c>
    </row>
    <row r="42" ht="52.25" customHeight="1">
      <c r="A42" t="inlineStr">
        <is>
          <t>SECTION-deep-acquisitions</t>
        </is>
      </c>
      <c r="B42" t="n">
        <v>41</v>
      </c>
      <c r="C42" t="inlineStr">
        <is>
          <t>Evidence findings · Follow-up verification · October 17, 2026 Acquisition and lease records establish authority and terms. Instrument status and payment evidence Acquired record What the record establishes Golden Hall / FY2023 budget Budgeted cost $10,458,046 total, including $4,386,088 personnel, $2,633,422 security and $1,605,665 food. These are budgeted costs, not payments. Golden Hall / agreement docket Unsigned operating attachment Public scope and compensation schedule, plus final HA-1956 authorization. The attached agreement is unsigned; current executed operating terms are not certified. Rosecrans / 2022 authorization Historical authority $4,844,331 initial operating budget and a recorded May 5, 2022 approval. This does not supply current terms, County MOA or invoice allocations. HERO / 2025 lease amendment Signed lease amendment Signed amendment sets FY2026 monthly rent at $147,518.15. It is neither the FY2023 base lease nor evidence of rent actually paid. Sources: [FJV-GOLDEN-FY23-BUDGET] , original p. 1; detailed FY2023 budget ; [HAR22-021] , original pp. 11, 31, 55; unsigned agreement, scope and compensation ; [HA-1956] , original pp. 3, 5; authorization and adoption ; [HCR22-068] , original pp. 3, 7; term, budget and funding split ; [SDHC-2022-05-05-MINUTES] , original p. 9; approval vote ; [HERO-LEASE-PUBLIC] , original pp. 1–3; FY2026 rent and execution . Signed and unsigned fee waivers have different evidentiary weight. CFO Public property data include licenses and permits. A signed 2023 Mission Valley license waived its fee; current renewal is not certified. The released Rose Canyon instrument has a blank signature page; its proposed waiver cannot certify an executed or current waiver. A blank rent cell is not zero rent. Sources: [LEASES-CSV-CURRENT] , agreement-type rows include License and Permit; blank rent fields remain unknown ; [DFC-2024-AGREEMENT] , original pp. 5, 18, 23; Mission Valley fee, execution and location ; [NR34425039] , original pp. 2, 15; Rose Canyon fee form and blank execution . The refreshed operating-actuals CSV remains byte-identical to the acquired 663,858-row file ending in FY2023. The live catalog and alternate official report interfaces did not supply FY2024–FY2026 actuals. That public-export gap remains; it does not show that the City lacks a current ledger. Sources: [ACTUALS-CATALOG] , current operating-actuals catalog checked October 17, 2026 ; [OPENGOV-API-REPORT-8082] , actuals report years 2011–2023 . Follow-up findings Sources Methods / license</t>
        </is>
      </c>
      <c r="D42" t="inlineStr">
        <is>
          <t>[{"source_id": "FJV-GOLDEN-FY23-BUDGET", "locator": "original p. 1; detailed FY2023 budget", "physical_pdf_pages": [1]}, {"source_id": "HAR22-021", "locator": "original pp. 11, 31, 55; unsigned agreement, scope and compensation", "physical_pdf_pages": [11, 31, 55]}, {"source_id": "HA-1956", "locator": "original pp. 3, 5; authorization and adoption", "physical_pdf_pages": [3, 5]}, {"source_id": "HCR22-068", "locator": "original pp. 3, 7; term, budget and funding split", "physical_pdf_pages": [3, 7]}, {"source_id": "SDHC-2022-05-05-MINUTES", "locator": "original p. 9; approval vote", "physical_pdf_pages": [9]}, {"source_id": "HERO-LEASE-PUBLIC", "locator": "original pp. 1–3; FY2026 rent and execution", "physical_pdf_pages": [1, 2, 3]}, {"source_id": "LEASES-CSV-CURRENT", "locator": "agreement-type rows include License and Permit; blank rent fields remain unknown", "physical_pdf_pages": []}, {"source_id": "DFC-2024-AGREEMENT", "locator": "original pp. 5, 18, 23; Mission Valley fee, execution and location", "physical_pdf_pages": [5, 18, 23]}, {"source_id": "NR34425039", "locator": "original pp. 2, 15; Rose Canyon fee form and blank execution", "physical_pdf_pages": [2, 15]}, {"source_id": "ACTUALS-CATALOG", "locator": "current operating-actuals catalog checked October 17, 2026", "physical_pdf_pages": []}, {"source_id": "OPENGOV-API-REPORT-8082", "locator": "actuals report years 2011–2023", "physical_pdf_pages": []}]</t>
        </is>
      </c>
    </row>
    <row r="43" ht="149.75" customHeight="1">
      <c r="A43" t="inlineStr">
        <is>
          <t>SECTION-deep-notable-contracts</t>
        </is>
      </c>
      <c r="B43" t="n">
        <v>42</v>
      </c>
      <c r="C43" t="inlineStr">
        <is>
          <t>Evidence findings · Follow-up verification · October 18, 2026 Signed shelter agreements close named execution gaps. Executed terms replace earlier versions Original scope Identify the named site and term Option / amendment Apply the effective replacement cap Payment test Match invoices separately; do not add caps CFO A previously downloaded SDHC ZIP contains 17 signed operating agreements, options and amendments across four shelter chains : Midway/Rosecrans, Golden Hall/Adults-Seniors, Imperial and Newton. All 64 PDF members in that ZIP and 145 members across five downloaded SDHC ZIPs were inventoried. What the executed records change Chain Reconciliation Midway/Rosecrans The original $4,844,331 agreement, later FY2025 option and 62-day FY2026 extension are present. Golden Hall / FY2025 The July–June option contains a six-month $2,812,764 budget. A December amendment replaces the cap with $4,697,885 and transitions the program to 4141 Pacific Highway with 130 beds. Adults/Seniors / FY2026 The $3,611,671 budget includes $1,503,264 for the SDHC/VVSD lease agreement and $72,800 building maintenance. Newton / original agreement $7,088,372 = $6,608,164 HHAP 4 + $480,208 HHAP 3. Comparing the full cap with only one funding column creates an apparent discrepancy. Sources: [NR53645063-M08] , member original pp. 2, 4, 18, 43; cap, signatures, site and budget ; [NR53645063-M10] , member original pp. 1, 3, 15; FY2025 option ; [NR53645063-M09] , member original pp. 1–3; 62-day extension ; [NR53645063-M15] , member original pp. 2–3, 15; FY2025 option and six-month budget ; [NR53645063-M14] , member original pp. 1, 3–5, 7; revised cap and relocation ; [NR53645063-M16] , member original pp. 2, 4, 9; FY2026 cap and cost components ; [NR53645063-M45] , member original pp. 2, 4, 44; original cap, signatures and funding . These records close the specific executed-operating-instrument gap for the named terms. Replacement caps are not additive payments. They do not close the annual City–SDHC Master MOU schedules, original Midway procurement/County MOA, invoice allocations or cash-settlement gaps. The earlier acquisition page describes what those earlier public docket records established; this ZIP supplies additional execution evidence. Follow-up findings Sources Methods / license</t>
        </is>
      </c>
      <c r="D43" t="inlineStr">
        <is>
          <t>[{"source_id": "NR53645063-M08", "locator": "member original pp. 2, 4, 18, 43; cap, signatures, site and budget", "physical_pdf_pages": [2, 4, 18, 43]}, {"source_id": "NR53645063-M10", "locator": "member original pp. 1, 3, 15; FY2025 option", "physical_pdf_pages": [1, 3, 15]}, {"source_id": "NR53645063-M09", "locator": "member original pp. 1–3; 62-day extension", "physical_pdf_pages": [1, 2, 3]}, {"source_id": "NR53645063-M15", "locator": "member original pp. 2–3, 15; FY2025 option and six-month budget", "physical_pdf_pages": [2, 3, 15]}, {"source_id": "NR53645063-M14", "locator": "member original pp. 1, 3–5, 7; revised cap and relocation", "physical_pdf_pages": [1, 3, 4, 5, 7]}, {"source_id": "NR53645063-M16", "locator": "member original pp. 2, 4, 9; FY2026 cap and cost components", "physical_pdf_pages": [2, 4, 9]}, {"source_id": "NR53645063-M45", "locator": "member original pp. 2, 4, 44; original cap, signatures and funding", "physical_pdf_pages": [2, 4, 44]}]</t>
        </is>
      </c>
    </row>
    <row r="44" ht="54.25" customHeight="1">
      <c r="A44" t="inlineStr">
        <is>
          <t>SECTION-deep-notable-budget</t>
        </is>
      </c>
      <c r="B44" t="n">
        <v>43</v>
      </c>
      <c r="C44" t="inlineStr">
        <is>
          <t>Evidence findings · Follow-up verification · October 18, 2026 Distinguish service delays, funding swaps and dated forecasts. CFO HSSD’s September 30, 2026 unaudited year-end memorandum explains a rounded $1.5 million contract variance against the third-quarter forecast. Components have different service and financing meanings. FY2026 forecast variance: three components sum to $1.5 million Cause Amount / operational meaning Staff vacancies $608,000 : Emergency Harm Reduction, Salvation Army family shelter and street outreach. Rachel’s Promise delay $92,000 anticipated FY2026 expenditure not needed. Domestic violence shelter $800,000 covered by County grant and interest, replacing forecast General Fund need; funding substitution, not an $800,000 service cut. Rachel’s Promise: planning and availability on separate dates February / May planning Later announcement February 2025 : 50 initial + 160 FY2026 beds. May 2026 : $441,143 forecast savings; June opening expected. August 12, 2026 : women moving the following week; women with children within a month. 160 additional beds were not usable throughout FY2026, ending June 30 . The May $441,143 and year-end $92,000 are separate dated forecasts; do not add them. Planned beds and forecast underspend do not verify admissions or a final loss. The memorandum also attributes $150,000 supplies variance to longer-lived platforms. [BK08] original pp. 2, 54–57; unaudited status and HSSD explanation, especially p. 56 [SDHC-RACHEL-EXPANSION-2026] August 12, 2026; 160 additional beds and phased move-in [BK08] original pp. 2, 55; reporting status and platform savings Sources: [SDHC-HCR25-011] , original p. 1; initial and expansion plan ; [EXP-CITY-FY26-Q3] , original p. 81; delay, forecast and June expectation ; [SDHC-RACHEL-2026-EXPANSION] , August 12, 2026 announcement; moving-in timetable . The year-end report remains subject to the ACFR process. These components do not allocate the whole budget-to-actual difference. Match budget, forecast, fund, actual expenditure and delivered capacity; variance alone is not a withheld invoice, recoverable overcharge, unrestricted balance or certified breach. Follow-up findings Sources Methods / license</t>
        </is>
      </c>
      <c r="D44" t="inlineStr">
        <is>
          <t>[{"source_id": "BK08", "locator": "original pp. 2, 54–57; unaudited status and HSSD explanation, especially p. 56", "physical_pdf_pages": [2, 54, 55, 56, 57]}, {"source_id": "SDHC-RACHEL-EXPANSION-2026", "locator": "August 12, 2026; 160 additional beds and phased move-in", "physical_pdf_pages": []}, {"source_id": "BK08", "locator": "original pp. 2, 55; reporting status and platform savings", "physical_pdf_pages": [2, 55]}, {"source_id": "SDHC-HCR25-011", "locator": "original p. 1; initial and expansion plan", "physical_pdf_pages": [1]}, {"source_id": "EXP-CITY-FY26-Q3", "locator": "original p. 81; delay, forecast and June expectation", "physical_pdf_pages": [81]}, {"source_id": "SDHC-RACHEL-2026-EXPANSION", "locator": "August 12, 2026 announcement; moving-in timetable", "physical_pdf_pages": []}]</t>
        </is>
      </c>
    </row>
    <row r="45" ht="180" customHeight="1">
      <c r="A45" t="inlineStr">
        <is>
          <t>SECTION-deep-notable-path</t>
        </is>
      </c>
      <c r="B45" t="n">
        <v>44</v>
      </c>
      <c r="C45" t="inlineStr">
        <is>
          <t>Evidence findings · Follow-up verification · October 18, 2026 PATH disclosed historical findings and corrections. Audit The City-released 2022 PATH outreach contract packet contains the provider’s responses to required grant-monitoring and audit-disclosure questions. They identify specific historical County program concerns that a clean financial-audit headline alone would miss. Provider disclosures in the 2022 submission Program / period Finding / amount Disposition / scope Community Care Coordination / FY2019–20 Four duplicated operating costs. Provider says final June invoice corrected April 2020 duplicates; mitigation implemented. Community Care Coordination for Veterans / FY2021–22 Disallowed employee-referral bonus and April/July 2021 payroll meal penalties. Marked pending in the 2022 submission; not established current status. Veterans program / double-payment control Policies did not clearly explain how accounting prevented double payment. Control-documentation finding, not a stated observed double payment. Sources: [NR34425020] , original pp. 9–10, 149–151 / proposal printed pp. 107–109; disclosure requirement and responses . The financial-audit opinion has a different scope. The preceding FY2021 single-audit summary reports an unmodified opinion, no material weaknesses and no major federal-program findings. That assurance does not erase separately disclosed, program-specific monitoring findings from different periods. Sources: [NR34425020] , original pp. 147–148 / proposal printed pp. 105–106; separate single-audit summary . These are PATH’s historical disclosures, not independently acquired County monitoring reports. They state no transaction amounts and do not establish present unrecovered loss, intent, current pending status or improper City outreach invoices. Correction and disclosure are material counterevidence to a concealment allegation. Obtain the County findings, corrected invoices and closure records before asserting a paid loss or fraud. Follow-up findings Sources Methods / license</t>
        </is>
      </c>
      <c r="D45" t="inlineStr">
        <is>
          <t>[{"source_id": "NR34425020", "locator": "original pp. 9–10, 149–151 / proposal printed pp. 107–109; disclosure requirement and responses", "physical_pdf_pages": [9, 10, 149, 150, 151]}, {"source_id": "NR34425020", "locator": "original pp. 147–148 / proposal printed pp. 105–106; separate single-audit summary", "physical_pdf_pages": [147, 148]}]</t>
        </is>
      </c>
    </row>
    <row r="46" ht="31.25" customHeight="1">
      <c r="A46" t="inlineStr">
        <is>
          <t>SECTION-deep-additional-conflict</t>
        </is>
      </c>
      <c r="B46" t="n">
        <v>45</v>
      </c>
      <c r="C46" t="inlineStr">
        <is>
          <t>Evidence findings · Follow-up verification · October 18, 2026 A housing acquisition produced a formal conflict finding. Audit The FPPC approved a $5,000 conflict-of-interest penalty against SDHC consultant James N. Neil on February 16, 2023 . He participated in the 2020 Hotel Circle acquisition decision while holding 40,000 shares in the seller’s parent company. The stipulated facts say one senior SDHC executive advised that he could invest because he was not a government employee; another was informed. The Act covered his role as a consultant. The record describes negligence, no government ethics training, and no evidence of concealment, deceit or a pattern of violations. Sources: [FPPC-NEIL-STIP] , original pp. 2, 4–8; facts, violation and mitigating evidence; Chair line in p. 9 copy is blank ; [FPPC-NEIL-APPROVAL] , original pp. 1–2; final February 16 approval, case 22/716 . Different proceedings establish different amounts Record What the amount means Civil settlement $1,000,000 : $845,000 to SDHC and $155,000 for City legal resources. The FPPC stipulation says the settlement was paid. Broker restrictions Neil: permanent brokerage debarment. Kidder: two years under the 2022 settlement. Separate appraisal audit $6.7 million potential overpayment estimate, disputed by SDHC; not a certified loss or amount to add to the settlement. Sources: [SDHC-HAR22-026] , original pp. 2–4; civil allegations, allocation, debarments and releases ; [FPPC-NEIL-STIP] , original p. 2; civil settlement described as paid ; [OCA24-09] , original pp. 16–22, 41–48, 50–53; practices, competing accounts and responses . The Auditor reports an August 12, 2020 CBRE warning that current value would likely fall below the $63–$67 million contract range. SDHC used a February valuation despite an August inspection without disclosing its retrospective basis or attaching it. FPPC dates put 30,000 shares in Neil’s ownership by August 12; the price was accepted August 5. That chronology does not establish price causation. CBRE and counsel dispute attribution; raw emails remain unverified here. SDHC cites a later $69 million apartment-use valuation; the Auditor says methods differ and inspection-date value is uncertain. The administrative conflict is established. Settled civil allegations do not establish criminal fraud, independently verified bank settlement or a $6.7 million recoverable loss. The Auditor found practices largely followed across six properties, with stated exceptions. Proposed control: train and screen consultants; disclose appraisal dates, assumptions and exceptions before approval. Later corrective action: by December 2025, the Auditor marked all four acquisition recommendations implemented: 1.1/1.2 in June 2024; 2.1/2.2 later. For 2.2, OCA accepted a strategic-plan alternative because reliable acquisition funding was lacking. This does not establish that the original annual numerical metric was adopted or certify future transactions. Source: [OCA-FOLLOWUP-2025-12] , original pp. 145–146; implementation and agreed alternative . Follow-up findings Sources Methods / license</t>
        </is>
      </c>
      <c r="D46" t="inlineStr">
        <is>
          <t>[{"source_id": "FPPC-NEIL-STIP", "locator": "original pp. 2, 4–8; facts, violation and mitigating evidence; Chair line in p. 9 copy is blank", "physical_pdf_pages": [2, 4, 5, 6, 7, 8, 9]}, {"source_id": "FPPC-NEIL-APPROVAL", "locator": "original pp. 1–2; final February 16 approval, case 22/716", "physical_pdf_pages": [1, 2]}, {"source_id": "SDHC-HAR22-026", "locator": "original pp. 2–4; civil allegations, allocation, debarments and releases", "physical_pdf_pages": [2, 3, 4]}, {"source_id": "FPPC-NEIL-STIP", "locator": "original p. 2; civil settlement described as paid", "physical_pdf_pages": [2]}, {"source_id": "OCA24-09", "locator": "original pp. 16–22, 41–48, 50–53; practices, competing accounts and responses", "physical_pdf_pages": [16, 17, 18, 19, 20, 21, 22, 41, 42, 43, 44, 45, 46, 47, 48, 50, 51, 52, 53]}, {"source_id": "OCA-FOLLOWUP-2025-12", "locator": "original pp. 145–146; implementation and agreed alternative", "physical_pdf_pages": [145, 146]}]</t>
        </is>
      </c>
    </row>
    <row r="47" ht="89.5" customHeight="1">
      <c r="A47" t="inlineStr">
        <is>
          <t>SECTION-deep-additional-contracts</t>
        </is>
      </c>
      <c r="B47" t="n">
        <v>46</v>
      </c>
      <c r="C47" t="inlineStr">
        <is>
          <t>Evidence findings · Follow-up verification · October 18, 2026 Late approvals already appear in an independent audit. Historical approval failure and later remediation Original audit Contract approval dates tested Later follow-up Implemented and remaining actions distinguished Current control Publish authority and effective dates CFO The July 2024 contract-management audit found 18 of 157 reviewed alterations lacked required Council approval, involving approximately $15 million. Its contract-spend figures represent opened purchase orders, not actual payments. It also names specific retroactive approvals relevant to this investigation. Auditor’s Appendix D; historical approval records Supplier / access department Recorded alteration and approval Service America / HSSD −$2,298,371 value change; R-314563, January 10, 2023, 645 days after expiration . This is a reduction, not an additional charge. United Site Services / Citywide Expenses $566,311 value change; R-315458, April 9, 2024, 391 days after expiration . The Citywide row does not allocate it to homelessness. Sources: [OCA25-02] , original pp. 4, 10–11, 36, 40–41, 43; sample, PO basis, limits and Appendix D . The audit found incomplete contract data and mismatches between Ariba limits and SAP commitments. Its appendix identifies departments able to access a contract; it does not establish sole ownership. A late ratification does not prove that services continued throughout the entire interval or that money was stolen. Sources: [OCA25-02] , original pp. 30–36, 38, 41, 43; data, integration recommendation and appendix qualification . Later remediation must remain in the record. Through June 30, 2026, 10 of the 13 recommendations were previously implemented , including SAP/Ariba monitoring integration. Three remained In Process–Past Due : approval thresholds, Municipal Code clarification, and written guidance. Revised completion targets extend to December 2026 and February 2027. Sources: [BK36] , original pp. 146–148 / printed pp. 142–144; full disposition table and recommendations 1.2–1.4 . This substantiates specific historical approval failures and partial remediation. It does not establish that the current supplier invoices examined elsewhere lack authority, that every City contract is defective, or that June’s statuses remained unchanged in October. Proposed control: publish the authority, amendment, effective date and ratification reason alongside each contract. Follow-up findings Sources Methods / license</t>
        </is>
      </c>
      <c r="D47" t="inlineStr">
        <is>
          <t>[{"source_id": "OCA25-02", "locator": "original pp. 4, 10–11, 36, 40–41, 43; sample, PO basis, limits and Appendix D", "physical_pdf_pages": [4, 10, 11, 36, 40, 41, 43]}, {"source_id": "OCA25-02", "locator": "original pp. 30–36, 38, 41, 43; data, integration recommendation and appendix qualification", "physical_pdf_pages": [30, 31, 32, 33, 34, 35, 36, 38, 41, 43]}, {"source_id": "BK36", "locator": "original pp. 146–148 / printed pp. 142–144; full disposition table and recommendations 1.2–1.4", "physical_pdf_pages": [146, 147, 148]}]</t>
        </is>
      </c>
    </row>
    <row r="48" ht="164.25" customHeight="1">
      <c r="A48" t="inlineStr">
        <is>
          <t>SECTION-state-note</t>
        </is>
      </c>
      <c r="B48" t="n">
        <v>47</v>
      </c>
      <c r="C48" t="inlineStr">
        <is>
          <t>Evidence findings · State-grant denominators Stage totals count events in different populations. Three different counting units Stage records A person may appear at more than one stage Person union Count a linked person once Outcome cohort Requires the period and person-level crosswalk Audit Final measurement finding: the released state tables use stage counts, person unions and different reporting periods. They establish the figures below; they do not establish a common retained-housing denominator. HCD already provides grant outcomes, reporting and technical-assistance channels. Source: [HCD26] , official ERF program page; outcomes and Reporting &amp; Compliance sections . Counts, unique people and expenditures must share an explicit comparison basis. Acquired record Final analytic disposition I-15, through March 31, 2026: 12 services-only; 54 interim; 51 permanent; 96 unduplicated across services/housing. Column J sums 117 stage records. [HC01] , All Active Projects F38:J38; category headers F2:J2 The 117 stage entries and 96-person union measure different units. Without the private person-level crosswalk, the stage sum is not a unique-person success rate. East Village: 4 services-only + 71 interim + 52 permanent = 127 stages; narrative 76 served. [HC01] , ERF 2L (Archived), row 7 The stage total and the narrative count cannot be treated as the same cohort or reporting window. Neither is substituted for the other. East Village spending: $2,446,500 self-reported through December 31, 2025. [HC02] , San Diego — East Village I2:I4; narratives The published expenditure is a dated, self-reported amount. It supplies no matched housing-retention denominator or certified cost per retained placement. Conditional arithmetic: 54 + 51 = 105 implies at least nine overlapping interim/permanent records if both sets belong to the same 96-person universe. The reviewed tables do not supply a separate crosswalk for the services-only count and total. No 51/96 success rate is calculated. A 60-day agency return is a proposed Council oversight mechanism, not an HCD statutory deadline. HSSD would act as the City liaison and could not direct HCD. The released aggregates do not permit the missing cohort linkage to be reconstructed. No participant crosswalk is disclosed and no grant violation is established. Reading index Sources Methods / license</t>
        </is>
      </c>
      <c r="D48" t="inlineStr">
        <is>
          <t>[{"source_id": "HCD26", "locator": "official ERF program page; outcomes and Reporting &amp; Compliance sections", "physical_pdf_pages": []}, {"source_id": "HC01", "locator": "All Active Projects F38:J38; category headers F2:J2", "physical_pdf_pages": []}, {"source_id": "HC01", "locator": "ERF 2L (Archived), row 7", "physical_pdf_pages": []}, {"source_id": "HC02", "locator": "San Diego — East Village I2:I4; narratives", "physical_pdf_pages": []}]</t>
        </is>
      </c>
    </row>
    <row r="49" ht="84.25" customHeight="1">
      <c r="A49" t="inlineStr">
        <is>
          <t>SECTION-deep-controls</t>
        </is>
      </c>
      <c r="B49" t="n">
        <v>48</v>
      </c>
      <c r="C49" t="inlineStr">
        <is>
          <t>Evidence findings · Follow-up verification · October 17, 2026 Completed financial tests and supported dispositions. CFO Earlier explanations narrow two financial questions. A signed purchasing certification describes DfC’s $487,791 increase as continuing a program originally budgeted for six months through June 2024. The resolution correctly prints $487,791. Later Second and Third Amendment recitals print $478,791 while retaining the correct cumulative total: a transcription discrepancy, not evidence of a $9,000 loss. Sources: [Docket931908] , original pp. 1–3; six-month budget and April 23, 2024 approval ; [R-315452] , original pp. 2, 4; both print $487,791 ; [NR41965641] , original p. 1; Second Amendment recital prints $478,791 ; [C64725518] , original p. 1; Third Amendment repeats transposition . A visible estimate sheet released with Urban Corps’ July 2023 billing already contains $30/$40 labor and $5.75 hourly mileage. It supplies pricing context, not signed City authority, and its creation date is not established by the invoice filename. The released record establishes the September 2025 correction but does not establish the earlier price authority or a recoverable credit. Sources: [NR56369102] , RFP Estimate Daily rate!H20,H21,H29,F29,I29; I29=H29*F29 . An AP recovery route is already contracted. The executed 2026 Moody Associates agreement covers a January 2024–December 2025 review for duplicate payments, overpayments, open credits and contract-price variances. It requires a City-accessible case/support database, significant-finding summaries and quarterly error/recovery reports. The contract alone does not establish a notice to proceed, completed work or an error in any named supplier’s bill. Sources: [AP-Recovery-10090424-26-L] , original pp. 1–3, 12–13; execution and review/reporting scope . Final dispositions of the tested allegations Owner / case Published finding Finance / supplier receipts Different receipt annotations are documented for seven invoice groups. Duplicate net payment and a recoverable loss are not established. ESD + Finance / pricing Approved billing changed and the correction is traceable into City AP. Separate written authority for earlier pricing was not found; the comparison is not a proved overpayment. HSSD / meals and services Council authority and its demand rationale are documented. The invoice fields conflict; facility inspection findings do not establish what an identified resident received. HSSD + ESD / reporting The City’s own KPI audit corroborates reporting-control weaknesses. Repeated staff entry time, causal service effects and deliberate obstruction are not quantified or established. Scope: the tests cover selected document families, native versions and public counterparts, followed by a relational audit. The proof pack preserves coverage, negative results and final evidentiary limits; it does not claim manual review of every downloaded page. Follow-up findings Sources Methods / license</t>
        </is>
      </c>
      <c r="D49" t="inlineStr">
        <is>
          <t>[{"source_id": "Docket931908", "locator": "original pp. 1–3; six-month budget and April 23, 2024 approval", "physical_pdf_pages": [1, 2, 3]}, {"source_id": "R-315452", "locator": "original pp. 2, 4; both print $487,791", "physical_pdf_pages": [2, 4]}, {"source_id": "NR41965641", "locator": "original p. 1; Second Amendment recital prints $478,791", "physical_pdf_pages": [1]}, {"source_id": "C64725518", "locator": "original p. 1; Third Amendment repeats transposition", "physical_pdf_pages": [1]}, {"source_id": "NR56369102", "locator": "RFP Estimate Daily rate!H20,H21,H29,F29,I29; I29=H29*F29", "physical_pdf_pages": []}, {"source_id": "AP-Recovery-10090424-26-L", "locator": "original pp. 1–3, 12–13; execution and review/reporting scope", "physical_pdf_pages": [1, 2, 3, 12, 13]}]</t>
        </is>
      </c>
    </row>
    <row r="50" ht="86.75" customHeight="1">
      <c r="A50" t="inlineStr">
        <is>
          <t>SECTION-reporting</t>
        </is>
      </c>
      <c r="B50" t="n">
        <v>49</v>
      </c>
      <c r="C50" t="inlineStr">
        <is>
          <t>Documented commitment · a lawful, bounded response is proposed The 2020 contact-tracking commitment went unimplemented. 2020 Audit recommendation; City partially agrees. Later (date unestablished) City decides against implementation. April 2026 Audit discloses that decision and its explanation. The audit’s publication date is not the withdrawal date. Source: [S01] , original pp. 44–45 / printed pp. 39–40 . CC The City partially accepted the 2020 recommendation to track contacts, offers and services during abatements. Report OCA-26-07 disclosed the City’s decision against implementation in April 2026, six years later: outreach recorders were not onsite. The decision date remains unestablished. This is nonimplementation of a partially accepted recommendation, not violation of a binding reporting law. Assess existing data before designing a parallel system. Reporting already exists Implementation boundary SDPD internal offers; provider HMIS; 211 requests/referrals; specific Caltrans abatement reporting. Different systems and record types make comprehensive linkage difficult. The 2026 Auditor made no new recommendation for another tracking process. [S01] , original p. 45 / printed p. 40 Auditability is a management responsibility. Separate systems, invoice versions and service-versus-posting years require reconciliation before related records can be compared. Overlapping reporting warrants checking for repeated entry and avoidable staff time; neither is quantified here. The audit also documents SDPD bundling and ESD batch closure of duplicate Get It Done reports. [S01] , original p. 45 / printed p. 40 . The City’s own KPI audit also documents reporting-control failures ( reporting and accounting findings ). These findings do not establish deliberate obstruction or fraud. Proposed Day 30 task HSSD, supported by SDPD, ESD and authorized data stewards, inventories fields, lawful permissions, reporting owners, overlap, entry time, linkage coverage, missingness and sample feasibility. Identify required outputs, a named monitor and actual resources needed. Day 60 return: cost a complete link, a bounded lawful sample or a defensible alternative. Explain what remains unknowable, who owns the missing record and when an answer is expected. See R05–R06 . The police manual describes warnings, citations and possible arrest for specified resident violations. Proposed institutional accountability uses public status, an owner, reasons, corrective action and a deadline; the mechanisms differ. Source: [V15] , original pp. 25–27; placement/enforcement conditions . Reading index Sources Methods / license</t>
        </is>
      </c>
      <c r="D50" t="inlineStr">
        <is>
          <t>[{"source_id": "S01", "locator": "original pp. 44–45 / printed pp. 39–40", "physical_pdf_pages": [44, 45]}, {"source_id": "S01", "locator": "original p. 45 / printed p. 40", "physical_pdf_pages": [45]}, {"source_id": "S01", "locator": "original p. 45 / printed p. 40", "physical_pdf_pages": [45]}, {"source_id": "V15", "locator": "original pp. 25–27; placement/enforcement conditions", "physical_pdf_pages": [25, 26, 27]}]</t>
        </is>
      </c>
    </row>
    <row r="51" ht="66" customHeight="1">
      <c r="A51" t="inlineStr">
        <is>
          <t>SECTION-deep-kpis</t>
        </is>
      </c>
      <c r="B51" t="n">
        <v>50</v>
      </c>
      <c r="C51" t="inlineStr">
        <is>
          <t>Evidence findings · Follow-up verification · October 17, 2026 The KPI audit found reporting-control failures. Audit This concern has independent official corroboration. The October 2025 KPI audit found that most departments did not fully explain unmet performance targets as Council Policy 000-02 requires. PandA did not enforce that requirement. Documented control weaknesses; citywide context Control What the Auditor found Explain performance Missing explanations made it harder to identify needed resources and corrective action. Validate data PandA reviewed accuracy when a KPI was established, with no continuing validity review; one FTE supported KPI review. Preserve trends Historical years beyond the prior year were combined into a baseline. Departments could change measures; the FY2025 overhaul added 99 and dropped 144. Use the information Only 1 of 7 responding Council Offices and 9 of 27 responding departments routinely used KPIs in decisions. Sources: [OCA26-03] , original pp. 3–4, 14, 19–20 / printed pp. 9, 14–15 for detailed findings ; [CP00002-CURRENT] , effective July 11, 2022; original pp. 6, 11, 15 . Use the reforms already underway. Through June 30, 2026, all five recommendations were In Process–Not Due . Targets included a KPI philosophy in December 2026, validation procedures and historical dashboard in March 2027, City Attorney measures in June 2027, and a separate annual performance report in October 2027. Sources: [BK36] , original pp. 197–203 / printed pp. 193–199; OCA-26-03 follow-up . Proposed response: align homelessness measures with this existing work. Publish definitions, source systems, reporting periods, revision history and explanations for missed targets, with one reconciliation owner. This audit supports a control finding; it does not establish that every homelessness figure is wrong or that every overlap wastes staff time. Follow-up findings Sources Methods / license</t>
        </is>
      </c>
      <c r="D51" t="inlineStr">
        <is>
          <t>[{"source_id": "OCA26-03", "locator": "original pp. 3–4, 14, 19–20 / printed pp. 9, 14–15 for detailed findings", "physical_pdf_pages": [3, 4, 14, 19, 20]}, {"source_id": "CP00002-CURRENT", "locator": "effective July 11, 2022; original pp. 6, 11, 15", "physical_pdf_pages": [6, 11, 15]}, {"source_id": "BK36", "locator": "original pp. 197–203 / printed pp. 193–199; OCA-26-03 follow-up", "physical_pdf_pages": [197, 198, 199, 200, 201, 202, 203]}]</t>
        </is>
      </c>
    </row>
    <row r="52" ht="136.5" customHeight="1">
      <c r="A52" t="inlineStr">
        <is>
          <t>SECTION-control-records</t>
        </is>
      </c>
      <c r="B52" t="n">
        <v>51</v>
      </c>
      <c r="C52" t="inlineStr">
        <is>
          <t>Evidence findings · Verified controls · October 17, 2026 Inspection and submission dates record separate events. Audit All 149 JHAT originals were hashed and their page-1 fields re-extracted. Of 143 submissions dated September 23–26, 2025, 138 have positive inspection-to-submission date lags and five are same-date. Their stated inspections span January 16, 2024–September 23, 2025; the median lag is 246 days and the maximum 617. Distinct fields and denominators Population Reproduced result 143 post-request submissions Submitted By names John Lowther on 129; the field is absent on 14. Six other submissions, July–September 2024 Three same-date; three with seven- or 35-day lags. What the dates establish Clustering of extracted submission metadata after the records request. What the dates do not establish Missed inspections, original creation dates, falsification or a contemporaneous-entry policy breach. Disposition: a metadata-timing finding only. The acquired records do not distinguish platform migration, later transcription and original entry. No false-inspection or missed-inspection finding is made. The 149 source hashes, page locators and local originals are indexed in Control-Proof/jhat-metadata-verification.json . The portable audit recomputes extracted-date arithmetic; it does not authenticate field history. Count the same unit in the same month April 2026 ESD comparison Measure Value / interpretation Released export 707 rows: 706 April abatement end dates and one May date. Published summary 783 abatements, defined in footnote 4 as a street block or off-street tent/structure cluster. Date-aligned residual 783 − 706 = 77; exact duplicate removal explains none of that difference. The export supplies no block/cluster multiplier or crosswalk to the published unit. A 77-abatement error or inflated reporting is not established. Preserve dates, counting units and missingness before interpreting a difference as performance. Sources: [C63347471] , original pp. 1–23; released row export ; [C63748796] , original p. 1; April summary and footnote 4 . Control tests Sources Methods / license</t>
        </is>
      </c>
      <c r="D52" t="inlineStr">
        <is>
          <t>[{"source_id": "C63347471", "locator": "original pp. 1–23; released row export", "physical_pdf_pages": [1, 2, 3, 4, 5, 6, 7, 8, 9, 10, 11, 12, 13, 14, 15, 16, 17, 18, 19, 20, 21, 22, 23]}, {"source_id": "C63748796", "locator": "original p. 1; April summary and footnote 4", "physical_pdf_pages": [1]}]</t>
        </is>
      </c>
    </row>
    <row r="53" ht="180" customHeight="1">
      <c r="A53" t="inlineStr">
        <is>
          <t>SECTION-deep-public-records</t>
        </is>
      </c>
      <c r="B53" t="n">
        <v>52</v>
      </c>
      <c r="C53" t="inlineStr">
        <is>
          <t>Evidence findings · Follow-up verification · October 17, 2026 Public counterparts supply selected financial records. Audit The DSDP blacked-out attachment contains two document types. A June 2023 cover letter identifies the Foundation’s 2021 exempt-organization return, followed by 51 blacked-out pages. A separate cover identifies June 2022/2021 consolidated financial statements, followed by 26 blacked-out pages. The combined 77 pages cannot be described entirely as audited statements. Sources: [NR34425046] , original pp. 70–71, 121–123, 148; covers and redaction boundaries . The provider’s public financial index supplies a 27-page audit for the identified 2022/2021 period. The Foundation’s public IRS filing reconstruction supplies Form 990 for July 1, 2021–June 30, 2022, Tax Year 2021, EIN 33-0961464. These are public financial counterparts for the identified period; their availability does not identify the redacted contents. Sources: [DSDP-FINANCIALS] , public financial-statement and return index ; [DSDP-AUDIT-2021-2022] , original pp. 1, 3, 27; period, audit opinion, separate unaudited schedule ; [DSDP-FOUNDATION-990-FY2022] , Form 990 header; tax period and EIN . The audit has an unmodified opinion; its PBID budget/actual schedule is explicitly unaudited. A consolidated financial audit, a Foundation return and a particular City program’s delivered services are distinct assurance scopes. Related entities and intercompany eliminations do not themselves establish duplicate payment. The identified release omits requested report categories. Request 25-8927 expressly sought monthly and term-end outcome reports. Its January 13, 2026 closure says all responsive records were released. The 21-file production contains 19 APRs and two SBCS drafts; the FY2026 individual APRs stop October 31, 2025. Monthly Safe Sleeping/Parking reports and November–December coverage are not present in that release. Sources: [REQ25-8927JSON] , request text and 21-document attachment inventory ; [REQ25-8927TIMELINE] , January 13, 2026 closure statement . The blacked-out contents cannot be byte-matched to public counterparts, and public availability does not establish the legal basis of withholding. The outcome release gap also does not establish that mandatory reports were never created or unlawfully withheld: the reviewed release does not establish the applicable frequency, City receipt or full custodian scope. Follow-up findings Sources Methods / license</t>
        </is>
      </c>
      <c r="D53" t="inlineStr">
        <is>
          <t>[{"source_id": "NR34425046", "locator": "original pp. 70–71, 121–123, 148; covers and redaction boundaries", "physical_pdf_pages": [70, 71, 121, 122, 123, 148]}, {"source_id": "DSDP-FINANCIALS", "locator": "public financial-statement and return index", "physical_pdf_pages": []}, {"source_id": "DSDP-AUDIT-2021-2022", "locator": "original pp. 1, 3, 27; period, audit opinion, separate unaudited schedule", "physical_pdf_pages": [1, 3, 27]}, {"source_id": "DSDP-FOUNDATION-990-FY2022", "locator": "Form 990 header; tax period and EIN", "physical_pdf_pages": []}, {"source_id": "REQ25-8927JSON", "locator": "request text and 21-document attachment inventory", "physical_pdf_pages": []}, {"source_id": "REQ25-8927TIMELINE", "locator": "January 13, 2026 closure statement", "physical_pdf_pages": []}]</t>
        </is>
      </c>
    </row>
    <row r="54" ht="84.25" customHeight="1">
      <c r="A54" t="inlineStr">
        <is>
          <t>SECTION-deep-notable-forms</t>
        </is>
      </c>
      <c r="B54" t="n">
        <v>53</v>
      </c>
      <c r="C54" t="inlineStr">
        <is>
          <t>Evidence findings · Follow-up verification · October 18, 2026 The City corrected forms; native exports repeat labels. Audit Released City correspondence supplies a concrete example of reporting rework attributable to the City. It concerns CDBG monitoring of a Father Joe’s Villages construction project, rather than a finding about its health-service program. Dated City statements Date Record October 17, 2022 Monitoring documents requested by November 16. November 15, 2022 City replaces FY2021/FY2022 income-verification forms because formula calculation errors were identified—one day before the stated deadline. January 24, 2023 City acknowledges an incorrect questionnaire and supplies a replacement. March 22, 2023 City acknowledges receipt of the previous day’s photos and spreadsheets; review and possible clarification remain. Sources: [NR24157936] , original pp. 1, 8–9; City replacements and original deadline ; [NR24158003] , original pp. 2–3; March 22 City receipt acknowledgment . These admissions support a specific data-quality and rework concern. The faulty spreadsheets were not independently recalculated; delay, staff cost and distortion are unquantified. Later receipt does not establish final monitoring acceptance or assign every delay to the City. Privacy-safe, explicitly redacted review excerpts accompany the proof; full threads remain linked. The procurement export also repeats business records. Comparing all 21 original columns identifies 997 PO/item pairs identical except for commodity labels , repeating $3,796,224.82 in Effective Price. The export contains 138,004 data records ; the earlier 138,005 CSV count includes its header. Another 255 repeated keys differ by department/business area and are retained because their allocation meaning is unknown. Sources: [NR71540521] , PRA_26-10308!A2:U138006; all-column native comparison and complete pair ledger in proof . Label normalization explains export multiplicity, not duplicate orders or payments. Effective Price is a commitment measure. HSSD’s only label pair repeats $42.76, so this finding does not materially alter the homelessness commitment analysis. Finance’s broader threshold and contract screens did not establish a new procurement breach. Follow-up findings Sources Methods / license</t>
        </is>
      </c>
      <c r="D54" t="inlineStr">
        <is>
          <t>[{"source_id": "NR24157936", "locator": "original pp. 1, 8–9; City replacements and original deadline", "physical_pdf_pages": [1, 8, 9]}, {"source_id": "NR24158003", "locator": "original pp. 2–3; March 22 City receipt acknowledgment", "physical_pdf_pages": [2, 3]}, {"source_id": "NR71540521", "locator": "PRA_26-10308!A2:U138006; all-column native comparison and complete pair ledger in proof", "physical_pdf_pages": []}]</t>
        </is>
      </c>
    </row>
    <row r="55" ht="180" customHeight="1">
      <c r="A55" t="inlineStr">
        <is>
          <t>SECTION-operation</t>
        </is>
      </c>
      <c r="B55" t="n">
        <v>54</v>
      </c>
      <c r="C55" t="inlineStr">
        <is>
          <t>One selected operation · no population estimate or job-cost attribution The cleanup file records clearance and service separately. The cleanup is complete. You still need somewhere safe to sleep. Keep both facts in the record. One describes the place; the other follows the person. Chief This example is used because public identifiers permit a complaint-to-work-order check. It is not a representative sample of operations or participant experience. July 21, 2025 Get It Done report 05301205; 263 16th Street. July 28, 2025 Linked NPD Work Order 03602342 completed. City photo names carry both IDs. July 2025 is FY2026, separate from the FY2025 invoice series. Source: [AN17D] , report 05301205 / photo identifiers ; [AN17W] , work order 03602342 . Missing housing information does not mean nobody received help. Evidence of public-space work Person-level evidence still needed Officer visit / trash cleared; administrative completion. Confirmed available/usable assistance, receiving lead, actual admission and later housing status. The acquired July Urban Corps route rows do not identify this July 28 job. They cannot attribute vendor cost to it. Cleanup delivery is a legitimate result; the acquired record does not establish person-level outcomes. Source: [AN06] , Sheet1; July route dates / Location . A shared operation needs a private service link, not histories in a public work order. Objective Proposed accountable lead / check Sanitation/access ESD Director: hazards addressed, usable facilities and public-space access. Respect/continuity HSSD Director: confirmed receiving provider and usable next step within two business days for agreed referrals. Housing progress HSSD Director: actual admissions, full eligible cohort, matured retention and unknowns; SDHC/data stewards support. Retained police safety Police Chief: necessary coverage and escalation; each operator remains responsible for its scope. HSSD must name the authorized linkage steward and receiving provider before launch. Where lawful linkage is infeasible, disclose coverage and use the approved bounded alternative. Data rules | Accounting evidence . Reading index Sources Methods / license</t>
        </is>
      </c>
      <c r="D55" t="inlineStr">
        <is>
          <t>[{"source_id": "AN17D", "locator": "report 05301205 / photo identifiers", "physical_pdf_pages": []}, {"source_id": "AN17W", "locator": "work order 03602342", "physical_pdf_pages": []}, {"source_id": "AN06", "locator": "Sheet1; July route dates / Location", "physical_pdf_pages": []}]</t>
        </is>
      </c>
    </row>
    <row r="56" ht="60.25" customHeight="1">
      <c r="A56" t="inlineStr">
        <is>
          <t>SECTION-contract-scope</t>
        </is>
      </c>
      <c r="B56" t="n">
        <v>55</v>
      </c>
      <c r="C56" t="inlineStr">
        <is>
          <t>Evidence findings · trace what the sanitation contract actually buys Caltrans reimburses clearance and excludes outreach. The delegated agreement draws a funding boundary Clearance Authorized maintenance costs reimbursed Outreach Services explicitly excluded from reimbursement ESD The executed Clean San Diego contract covers litter, weeds, facilities, community cleanups and encampment waste removal. Its $22,078,000 ceiling covers a five-year agreement and remains subject to annual appropriation conditions. It is not a one-year homelessness expenditure or a housing allocation. Source: [DR09] , original pp. 1–2, 11–13, 87–88 . Use the existing evidence requirements before inventing another reporting form. Record required by the acquired contract Why the join matters Before/after photos; daily areas serviced; tons collected; service summary for each shift The work can be checked against the route and requested task. These are valid public-space measures. Actual hours per staff per day; vehicle hours matched to crew hours; travel to/from site excluded Compare native route/staff detail, approval and rate changes with the billed amount. A daily or monthly total is not an operation-level price. Disposal receipts and proof of payment Check reimbursed waste costs separately from labor, vehicles and any other authorized item. Source: [DR09] , original pp. 13–15, 18, 86 . The signed 2022 fees are $29 per employee-hour, $39 per supervisor-hour and $30 / $12 / $10 per compactor / stake-bed / pickup hour. Section 3.4 permits price increases subject to a written request, justification, cap and written City approval. No separate written City approval for the later rates was located in the reviewed releases. The approved invoices and the subsequent correction establish the billing change; a changed rate alone is not an overcharge. Source: [DR09] , original pp. 19, 86; section 3.4 and signed fees . The May 2023 ESD summary separately reports 1,029 postings, 48 abatements, 227.06 abatement tons and 775 sanitized block faces for that month. These units describe different work. They are not unique people, a displacement count or housing outcomes. Source: [DR12] , original p. 1; current-month column . Caltrans reimburses clearance and excludes outreach The delegated maintenance agreement reimburses authorized maintenance and clearance costs while explicitly excluding outreach services. This separates the funding for clearance from the funding for connecting people to housing. It is a structural financing flaw to address, not proof that outreach never occurred or that a breach occurred. Source: [CDMA01] , original pp. 1, 3–4; maintenance scope, outreach exclusion and reimbursement . Reading index Sources Methods / license</t>
        </is>
      </c>
      <c r="D56" t="inlineStr">
        <is>
          <t>[{"source_id": "DR09", "locator": "original pp. 1–2, 11–13, 87–88", "physical_pdf_pages": [1, 2, 11, 12, 13, 87, 88]}, {"source_id": "DR09", "locator": "original pp. 13–15, 18, 86", "physical_pdf_pages": [13, 14, 15, 18, 86]}, {"source_id": "DR09", "locator": "original pp. 19, 86; section 3.4 and signed fees", "physical_pdf_pages": [19, 86]}, {"source_id": "DR12", "locator": "original p. 1; current-month column", "physical_pdf_pages": [1]}, {"source_id": "CDMA01", "locator": "original pp. 1, 3–4; maintenance scope, outreach exclusion and reimbursement", "physical_pdf_pages": [1, 3, 4]}]</t>
        </is>
      </c>
    </row>
    <row r="57" ht="76.75" customHeight="1">
      <c r="A57" t="inlineStr">
        <is>
          <t>SECTION-coding</t>
        </is>
      </c>
      <c r="B57" t="n">
        <v>56</v>
      </c>
      <c r="C57" t="inlineStr">
        <is>
          <t>Evidence findings · work performed, timekeeping and paid expenditure Order codes and pay categories separate different work. Chief Training Bulletin 25-01 retained some order numbers while changing names and narrowed extension-of-shift eligibility. A label or employee home unit can therefore conceal the assignment that a payroll query needs to identify. This is a classification risk to test, not an observed accounting error. Source: [BK06] , issued January 21, 2025; original pp. 1–5 . Actual work Task, operation/case, date, paid time. Pay category Planned overtime or eligible extension. Cost object Working/controlling command and order. Paid expense Hours, rates, ending cost and backfill. Proposed join; no matched payroll chain was acquired. Source: [BK06] , original pp. 2–5, 9–10 . Terms: a cost object is the numerical timecard order; controlling command means the unit directing the shared work. Backfill is paid coverage needed for duties left behind. The bulletin’s issue date is not proof of every SAP coding effective date. Preserve native order numbers and the coding crosswalk. Code / rule Decision consequence 11003715: Extension of Shift – Reports Not a dedicated Get It Done code; identify actual duty and eligibility. 11003903: NPD General Fund; 11004334: CleanSD Starting points for planned overtime, not proof of HOT-only or reducible work. Work in another command / controlled multi-unit operation Query working or controlling command; a home-unit-only screen can omit support work or include unrelated duties. Extension means unplanned, involuntary overtime Map old/new categories before calling a category decline a saving. Source: [BK06] , original pp. 1–5, 9–10 . The encampment audit says storage-guarding overtime officers were repurposed to locations/events. That is an example of reassigned capacity; it does not show spending ended. Source: [S01] , original p. 42 / printed p. 37 . Reading index Sources Methods / license</t>
        </is>
      </c>
      <c r="D57" t="inlineStr">
        <is>
          <t>[{"source_id": "BK06", "locator": "issued January 21, 2025; original pp. 1–5", "physical_pdf_pages": [1, 2, 3, 4, 5]}, {"source_id": "BK06", "locator": "original pp. 2–5, 9–10", "physical_pdf_pages": [2, 3, 4, 5, 9, 10]}, {"source_id": "BK06", "locator": "original pp. 1–5, 9–10", "physical_pdf_pages": [1, 2, 3, 4, 5, 9, 10]}, {"source_id": "S01", "locator": "original p. 42 / printed p. 37", "physical_pdf_pages": [42]}]</t>
        </is>
      </c>
    </row>
    <row r="58" ht="74.75" customHeight="1">
      <c r="A58" t="inlineStr">
        <is>
          <t>SECTION-audit-boundaries</t>
        </is>
      </c>
      <c r="B58" t="n">
        <v>57</v>
      </c>
      <c r="C58" t="inlineStr">
        <is>
          <t>Evidence findings · read favorable findings at their actual scope The audit measures administrative response time. Audit Response-Time Clock Complaint received Closed or referred to another department Administrative endpoint Proposed Person-Level Checks Intake: usable option Respectful engagement Receiving-team acceptance Verified admission Follow-up or unknown The documented administrative clock and proposed person-level checks answer separate questions. Source: [S01] , original p. 42, footnote 15 / printed p. 37 . Diagram text: the administrative endpoint does not establish person-level results. Sequence Stages Documented administrative clock Complaint received → closed or referred to another department → administrative endpoint. Proposed person-level checks Usable option → respectful engagement → receiving-team acceptance → verified admission → follow-up or unknown. Source: [S01] , original p. 42, footnote 15 / printed p. 37 . The offer rates below are NPD administrative reports. Exhibit 18 supplies percentages without underlying counts; they are not verified housing arrivals or participant-reported treatment. Credit the documented improvements without expanding their meaning. Favorable audit finding Finding scope and proposed verification ESD and SDPD coordinate plans and schedules. Coordination exists. Providers requested earlier notice; confirm a receiving service lead and operation-specific notice. Average SDPD report response fell from 17 days in FY2023 to 10 in FY2024. The administrative endpoint is closure or referral. Verify receiving-team completion and access separately. Every Council District had a longer median interval before a new same-location report. A useful reporting signal; not direct observation of every location or a housing measure. Refusals 76% → 52%; more-stable placements 4% → 7%, FY2022–FY2024. Reported NPD improvement. Obtain counts and definitions. The 42% refusal figure covers the second half of FY2025/start of FY2026; FY2025 data are incomplete. Source: [S01] , original pp. 39, 42–45 . CC The audit says interviews with people experiencing homelessness were infeasible. For data outside Get It Done and the Automated Regional Justice Information System (ARJIS), it lacked independent verification sources and used consistency tests. That limits the claims, without establishing that the figures are wrong. Source: [S01] , original pp. 58, 60 / printed pp. 53, 55 . Reading index Sources Methods / license</t>
        </is>
      </c>
      <c r="D58" t="inlineStr">
        <is>
          <t>[{"source_id": "S01", "locator": "original p. 42, footnote 15 / printed p. 37", "physical_pdf_pages": [42]}, {"source_id": "S01", "locator": "original p. 42, footnote 15 / printed p. 37", "physical_pdf_pages": [42]}, {"source_id": "S01", "locator": "original pp. 39, 42–45", "physical_pdf_pages": [39, 42, 43, 44, 45]}, {"source_id": "S01", "locator": "original pp. 58, 60 / printed pp. 53, 55", "physical_pdf_pages": [58, 60]}]</t>
        </is>
      </c>
    </row>
    <row r="59" ht="88.5" customHeight="1">
      <c r="A59" t="inlineStr">
        <is>
          <t>SECTION-sensitivity</t>
        </is>
      </c>
      <c r="B59" t="n">
        <v>58</v>
      </c>
      <c r="C59" t="inlineStr">
        <is>
          <t>Evidence findings · financing, safety and source dependence Budget variance and response times constrain the transfer. A scoped proposal still has to meet these constraints. Constraint Consequence for this proposal SDPD’s wider civilianization proposal: about $17.6m added; no expected spending or overtime reduction. A narrower transfer can also add cost. Require ending paid expenditures, full replacement prices and backfill. [BK22] , original pp. 1–2 ; [BK23] , original pp. 8, 10 FY2026 Priority 1: 39.50 minutes / goal 14. Priority 2: 120 / goal 27. Protect necessary response coverage; do not assume every released hour is reducible spending. [S08] , original p. 5 Police FY2026 General Fund actual $699,569,129; adopted $703,515,478. The $3,946,349 favorable variance is an accounting comparison, without identifying a current transferable balance. [BK08] , original pp. 36, 46 Favorable storage-practice findings and existing SDHC feedback channels. Retain useful practice and kiosks/consultation; establish actual access, invitation coverage and corrective responses. [S01] , original pp. 48–52 ; [UCSD26G] , original pp. 1, 4, 13–14 IBA The State Auditor lists recommendation 10 of report 2023-102.2 as Will Not Implement. The City cites County health leadership and existing indicators; the Auditor maintains the City should assess its own program effects. Recommendations 8–9 on disclosure/provider review are implemented. Source: [FOUT01] , recommendations 8–11; captured October 13, 2026 ; [FOUT02] , recommendation 10 responses June/October 2024 and April 2025; assessments . The acquired HHAP annual report totals $113,041,368.47 awarded, $106,365,590.56 obligated and $94,884,516.31 expended across Rounds 1–5 through December 31, 2025. Of the $18,156,852.16 award-minus-expenditure difference, $11,481,074.25 was already obligated. These overlapping balances are not spare cash. The cumulative report excludes Round 6 accounting and does not reconcile the later FY2026 variance in R09 . Source: [DR18] , physical pp. 1, 3, 43; cumulative period, definitions and round totals . Remove ADC03 and the 466-exit numerator / two-denominator example loses its source; the proposed future baseline remains a separate requirement. Evidence.zip records which claims lose support when each source family is removed. Surviving policy preferences do not establish effectiveness. New contracts, pooled APRs and regional improvements require pricing the actual added capability and verifying the person-level gap. Reading index Sources Methods / license</t>
        </is>
      </c>
      <c r="D59" t="inlineStr">
        <is>
          <t>[{"source_id": "BK22", "locator": "original pp. 1–2", "physical_pdf_pages": [1, 2]}, {"source_id": "BK23", "locator": "original pp. 8, 10", "physical_pdf_pages": [8, 10]}, {"source_id": "S08", "locator": "original p. 5", "physical_pdf_pages": [5]}, {"source_id": "BK08", "locator": "original pp. 36, 46", "physical_pdf_pages": [36, 46]}, {"source_id": "S01", "locator": "original pp. 48–52", "physical_pdf_pages": [48, 49, 50, 51, 52]}, {"source_id": "UCSD26G", "locator": "original pp. 1, 4, 13–14", "physical_pdf_pages": [1, 4, 13, 14]}, {"source_id": "FOUT01", "locator": "recommendations 8–11; captured October 13, 2026", "physical_pdf_pages": []}, {"source_id": "FOUT02", "locator": "recommendation 10 responses June/October 2024 and April 2025; assessments", "physical_pdf_pages": []}, {"source_id": "DR18", "locator": "physical pp. 1, 3, 43; cumulative period, definitions and round totals", "physical_pdf_pages": [1, 3, 43]}]</t>
        </is>
      </c>
    </row>
    <row r="60" ht="99.75" customHeight="1">
      <c r="A60" t="inlineStr">
        <is>
          <t>SECTION-expansion-public-costs</t>
        </is>
      </c>
      <c r="B60" t="n">
        <v>59</v>
      </c>
      <c r="C60" t="inlineStr">
        <is>
          <t>Further evidence · Expanded record review · October 18, 2026 Published expenses and credits add a cost layer. The FY2025 year-end report supplies HSSD’s unaudited department-level expenses . It covers HSSD rather than all City homelessness spending. FY2025 HSSD; expenses are not vendor-payment totals Published measure Amount Total expenses $74,090,833 General Fund component $45,070,322 HHAP component $20,319,895 Adopted total budget $89,840,378 Sources: [EXP-CITY-FY25-YEAREND] , original pp. 62–65; unaudited HSSD funding-source table ; [EXP-IBA25-34-YEAREND] , original pp. 1, 11; year-end review . City reports acknowledge billing corrections Earlier correction account · FY2025 reports: rounded $1.4 million combines unused FY2023 advances and FY2024 SDHC overbilling. Finance explains that estimated billings were reconciled to actual costs. One FY2025 SDHC credit repeated in two FY2026 reports FY2026 midyear report One FY2025 overbilling credit FY2026 third-quarter report Reports this credit → $507,141 Shelters and multidisciplinary outreach. Same credit; count once. ← Reports the same credit Sources: [EXP-CITY-FY25-MIDYEAR] , original pp. 22, 80, 82; January 2025 credit account ; [EXP-CITY-FY25-Q3] , original pp. 27, 88; estimates-to-actuals explanation ; [EXP-CITY-FY26-MIDYEAR] , original p. 81; FY2025 credit ; [EXP-CITY-FY26-Q3] , original pp. 80, 82; repeated FY2025 credit . Reconciliation still needed. These aggregates improve the public cost account. They do not supply credit memos, program allocations, invoice/service-period joins or proof that credits reached City accounts. Do not add repeated credits, expenses and gross AP payments together or present them as a retained loss or intentional false billing. Public records also locate a County capital-grant path. R-316384 authorized $958,178.46 reallocated from four prior grants to Safe Sleeping, contingent on executed amendments and a fully signed grant agreement; its budget certificate identifies new agreement 10071. HSSD’s FY2026 first-quarter report later says the full rounded $958,178 was expended for O Lot expansion. This closes a bounded public-authority and reported-expenditure question. The executed counterpart and purchase/invoice/AP reconciliation remain unacquired. Sources: [CITY-R316384-SAFE-SLEEPING-GRANT] , original pp. 1–4, 6; authority, conditions and agreement 10071 ; [CITY-FY26-Q1-MONITORING] , original p. 52; HSSD reported reallocation and expenditure . Reading index · Sources · Methods and limits</t>
        </is>
      </c>
      <c r="D60" t="inlineStr">
        <is>
          <t>[{"source_id": "EXP-CITY-FY25-YEAREND", "locator": "original pp. 62–65; unaudited HSSD funding-source table", "physical_pdf_pages": [62, 63, 64, 65]}, {"source_id": "EXP-IBA25-34-YEAREND", "locator": "original pp. 1, 11; year-end review", "physical_pdf_pages": [1, 11]}, {"source_id": "EXP-CITY-FY25-MIDYEAR", "locator": "original pp. 22, 80, 82; January 2025 credit account", "physical_pdf_pages": [22, 80, 82]}, {"source_id": "EXP-CITY-FY25-Q3", "locator": "original pp. 27, 88; estimates-to-actuals explanation", "physical_pdf_pages": [27, 88]}, {"source_id": "EXP-CITY-FY26-MIDYEAR", "locator": "original p. 81; FY2025 credit", "physical_pdf_pages": [81]}, {"source_id": "EXP-CITY-FY26-Q3", "locator": "original pp. 80, 82; repeated FY2025 credit", "physical_pdf_pages": [80, 82]}, {"source_id": "CITY-R316384-SAFE-SLEEPING-GRANT", "locator": "original pp. 1–4, 6; authority, conditions and agreement 10071", "physical_pdf_pages": [1, 2, 3, 4, 6]}, {"source_id": "CITY-FY26-Q1-MONITORING", "locator": "original p. 52; HSSD reported reallocation and expenditure", "physical_pdf_pages": [52]}]</t>
        </is>
      </c>
    </row>
    <row r="61" ht="78.25" customHeight="1">
      <c r="A61" t="inlineStr">
        <is>
          <t>SECTION-expansion-provider-liabilities</t>
        </is>
      </c>
      <c r="B61" t="n">
        <v>60</v>
      </c>
      <c r="C61" t="inlineStr">
        <is>
          <t>Further evidence · Expanded record review · October 18, 2026 Provider disclosures: preserve amounts, disposition and scope. Father Joe’s Villages: two disclosed events with different implications Event / date Amount or recorded disposition Evidence boundary Wage-and-hour settlement Three 2022 cases consolidated; $3,454,825 finalized / reported paid December 2024 . Audits: September 23, 2025 . One settlement: $2,591,119 St. Vincent de Paul Village (City contracting entity) + $863,706 S.V.D.P. Management. No identified City/grant payment source, adjudicated wage violation or inspected bank transaction. Data event / notice Possible access/acquisition September 26–October 12, 2024 ; information determination July 29, 2025 . Medical, insurance and financial information possible. Notice: no evidence of actual/attempted misuse; law-enforcement notice and credit monitoring. Related class action: unestimated potential loss at audit issuance. [EXP-FJV-VILLAGE-AUDIT-2024] original pp. 31–32; litigation and subsequent events [EXP-FJV-MANAGEMENT-AUDIT-2024] original p. 39; settlement allocation [NR53645063-M13] original p. 1; contracting legal entity [EXP-FJV-DATA-NOTICE-2025] original p. 1; provider notice [EXP-CAAG-FJV-SAMPLE-NOTICE-2025] original p. 1; provider-authored sample notice retained by California AG [EXP-FJV-MANAGEMENT-AUDIT-2024] original p. 39; subsequent-event disclosure Contract scope matters: these records do not identify City shelter clients, HMIS or a City database as affected. Privacy duties alone do not establish a safeguard or notification-deadline violation; affected-contract scope and agency response are needed for that claim. Later common standards: SDHC reports intake, termination, suspension and appeal rules effective October 1, 2024 across its shelters and City Safe Sleeping. The City’s FY2025 ESG return reports low-risk programs fully audited in FY2024, no annual audit in FY2025, but site policy/client-feedback review. This stated risk-based approach does not prove every provider complied or all HSSD programs were low-risk. [SDHC-FY25-SERVICES-ANNUAL] UNIVERSAL TERMS OF SERVICE; October 1, 2024 effective date [CITY-FY25-ESG-SAGE] original p. 3; risk-based annual audit and site review narrative Obtain the prior ESG review, risk assessment and policy-implementation results to test delivery against these written controls. Reading index · Sources · Methods and limits</t>
        </is>
      </c>
      <c r="D61" t="inlineStr">
        <is>
          <t>[{"source_id": "EXP-FJV-VILLAGE-AUDIT-2024", "locator": "original pp. 31–32; litigation and subsequent events", "physical_pdf_pages": [31, 32]}, {"source_id": "EXP-FJV-MANAGEMENT-AUDIT-2024", "locator": "original p. 39; settlement allocation", "physical_pdf_pages": [39]}, {"source_id": "NR53645063-M13", "locator": "original p. 1; contracting legal entity", "physical_pdf_pages": [1]}, {"source_id": "EXP-FJV-DATA-NOTICE-2025", "locator": "original p. 1; provider notice", "physical_pdf_pages": [1]}, {"source_id": "EXP-CAAG-FJV-SAMPLE-NOTICE-2025", "locator": "original p. 1; provider-authored sample notice retained by California AG", "physical_pdf_pages": [1]}, {"source_id": "EXP-FJV-MANAGEMENT-AUDIT-2024", "locator": "original p. 39; subsequent-event disclosure", "physical_pdf_pages": [39]}, {"source_id": "SDHC-FY25-SERVICES-ANNUAL", "locator": "UNIVERSAL TERMS OF SERVICE; October 1, 2024 effective date", "physical_pdf_pages": []}, {"source_id": "CITY-FY25-ESG-SAGE", "locator": "original p. 3; risk-based annual audit and site review narrative", "physical_pdf_pages": [3]}]</t>
        </is>
      </c>
    </row>
    <row r="62" ht="146" customHeight="1">
      <c r="A62" t="inlineStr">
        <is>
          <t>SECTION-expansion-funding-lineage</t>
        </is>
      </c>
      <c r="B62" t="n">
        <v>61</v>
      </c>
      <c r="C62" t="inlineStr">
        <is>
          <t>Further evidence · Expanded record review · October 18, 2026 Trace eligibility repairs and the grant-to-operator chain. HIPP required a documented funding repair HIPP: original funding, eligibility mismatch and adopted repair FY2025 appropriation → Eligibility mismatch → Recorded funding repair $5.2 million PLHA for HIPP. Income range and arrears assistance not fully covered; at least $1.9 million needed elsewhere. Council broadened uses November 19, 2024 ; final passage November 22 . $1.9 million GF/PLHA swap with two shelters ; no net General Fund increase. By mid-February 2025, the IBA reported 300 active HIPP households and 105 new FY2025 households. This is a funding-design mismatch and repair; no ineligible payment or measured denial count is established. Sources: [EXP-IBA25-06-MIDYEAR] , original pp. 15–16, 24; eligibility, households and funding swap ; [EXP-R315907-PLHA] , original pp. 1–6; permitted-use amendment and final passage ; [EXP-CITY-FY25-MIDYEAR] , original pp. 80, 82; reported swap . Central’s RTFH and HHAP labels can describe one chain Central Elementary Safe Parking: grant, intermediary and recipient Ultimate grant → Intermediary → Recipient / approved components HHAP5 state grant. CoC’s 2026 return: $343,000 obligations through December 31, 2025 . RTFH identifies the intermediary; HHAP identifies the ultimate grant. SDHC / Central: approval packet’s RTFH component equals $325,850 operations + $17,150 administration. Sources: [HCD-HHAP-ANNUAL-XLSX] , CA-601 San Diego City!A186:N186; I1:K1 as-of headers ; [SDHC-CENTRAL-PARKING-HCR25-069] , original pp. 5–6; RTFH operator and administration amounts ; [SDHC-GRANT-HCR26-025] , original p. 8; later broader grant-source label . The later HUD/CoC/HHAP-through-City coding still needs a transaction-level explanation. The annual return uses the current school’s Orange Avenue address; the district identifies the licensed former-school parking site on Polk Avenue. Keep those locations distinct. Reading index · Sources · Methods and limits</t>
        </is>
      </c>
      <c r="D62" t="inlineStr">
        <is>
          <t>[{"source_id": "EXP-IBA25-06-MIDYEAR", "locator": "original pp. 15–16, 24; eligibility, households and funding swap", "physical_pdf_pages": [15, 16, 24]}, {"source_id": "EXP-R315907-PLHA", "locator": "original pp. 1–6; permitted-use amendment and final passage", "physical_pdf_pages": [1, 2, 3, 4, 5, 6]}, {"source_id": "EXP-CITY-FY25-MIDYEAR", "locator": "original pp. 80, 82; reported swap", "physical_pdf_pages": [80, 82]}, {"source_id": "HCD-HHAP-ANNUAL-XLSX", "locator": "CA-601 San Diego City!A186:N186; I1:K1 as-of headers", "physical_pdf_pages": []}, {"source_id": "SDHC-CENTRAL-PARKING-HCR25-069", "locator": "original pp. 5–6; RTFH operator and administration amounts", "physical_pdf_pages": [5, 6]}, {"source_id": "SDHC-GRANT-HCR26-025", "locator": "original p. 8; later broader grant-source label", "physical_pdf_pages": [8]}]</t>
        </is>
      </c>
    </row>
    <row r="63" ht="69.5" customHeight="1">
      <c r="A63" t="inlineStr">
        <is>
          <t>SECTION-expansion-kettner-decision</t>
        </is>
      </c>
      <c r="B63" t="n">
        <v>62</v>
      </c>
      <c r="C63" t="inlineStr">
        <is>
          <t>Further evidence · Expanded record review · October 18, 2026 Housing funding: distinguish the proposal, authority and later use. The IBA’s July 2024 Kettner/Vine review found above-market lease terms; the City Attorney cited incomplete documents and insufficient review time. The record establishes a planning tradeoff, followed by changed funding decisions. Kettner/Vine and Swift: separate decisions, amounts and limits Decision / period Recorded action What the record establishes Kettner · December 2024 $6 million CDBG affordable-housing NOFA held pending shelter decision. No measured foregone housing production or paid lease loss. February 7, 2025 → April 2025 Mayor withdrew proposal; IBA expected housing funds with MOU still needed. April authority conditionally redirected to Homekey+, with housing-NOFA fallback. Authorization is distinct from disbursement. Later NOFA · 2025 $6,246,092 new CDBG funding; October minutes: acquisition NOFA closed September 29, 2025. Exact transaction bridge to conditional $6 million remains unverified; hypothetical rent is not paid or saved money. CDBG timeliness · March 2025 EDD acknowledged three missed annual tests, delayed public works / abandoned Kettner allocation and no updated target because of limited staff. Broader community-development balance cannot all be assigned to homelessness; no final FY2025/FY2026 HUD penalty determination acquired. Swift · proposed versus final Incompatible NOFA caps: preliminary SDHC loan reduced $2.3 million; EDD proposed $1.7 million backfill from SDHC-intended funds. Council: $4 million March 25; SDHC: separate $4 million June. Documented coordination problem; no established paid $1.7 million diversion, unlawful subsidy or current unremedied violation. [EXP-IBA24-18-KETTNER] original pp. 1–4; lease economics [EXP-RC2024-4-KETTNER] original pp. 1, 8, 10–11; document and review limitations [EXP-IBA24-33-Q1] original p. 15; hold pending decision [EXP-KETTNER-WITHDRAWAL-2025] February 7, 2025 mayoral statement [EXP-IBA25-06-MIDYEAR] original pp. 15–16; intended release and MOU [EXP-R316166-CDBG] original pp. 1, 6–10; conditional grant authority [EXP-SDHC-GRANT-2025H1] original pp. 1, 6; later CDBG NOFA award [EXP-SDHC-MINUTES-2025-10-10] original pp. 1, 3; September 29 submission deadline [EXP-IBA25-09-SWIFT] original pp. 2–5; timeliness, staffing and dual-NOFA rules [EXP-R316132-SWIFT] original pp. 1, 4–5; final $4 million Council authority [EXP-HC2040-SWIFT] original p. 1; separate June SDHC approval [EXP-HCR25-043-SWIFT] original p. 6; $4 million plus $4 million funding table Reading index · Sources · Methods and limits</t>
        </is>
      </c>
      <c r="D63" t="inlineStr">
        <is>
          <t>[{"source_id": "EXP-IBA24-18-KETTNER", "locator": "original pp. 1–4; lease economics", "physical_pdf_pages": [1, 2, 3, 4]}, {"source_id": "EXP-RC2024-4-KETTNER", "locator": "original pp. 1, 8, 10–11; document and review limitations", "physical_pdf_pages": [1, 8, 10, 11]}, {"source_id": "EXP-IBA24-33-Q1", "locator": "original p. 15; hold pending decision", "physical_pdf_pages": [15]}, {"source_id": "EXP-KETTNER-WITHDRAWAL-2025", "locator": "February 7, 2025 mayoral statement", "physical_pdf_pages": []}, {"source_id": "EXP-IBA25-06-MIDYEAR", "locator": "original pp. 15–16; intended release and MOU", "physical_pdf_pages": [15, 16]}, {"source_id": "EXP-R316166-CDBG", "locator": "original pp. 1, 6–10; conditional grant authority", "physical_pdf_pages": [1, 6, 7, 8, 9, 10]}, {"source_id": "EXP-SDHC-GRANT-2025H1", "locator": "original pp. 1, 6; later CDBG NOFA award", "physical_pdf_pages": [1, 6]}, {"source_id": "EXP-SDHC-MINUTES-2025-10-10", "locator": "original pp. 1, 3; September 29 submission deadline", "physical_pdf_pages": [1, 3]}, {"source_id": "EXP-IBA25-09-SWIFT", "locator": "original pp. 2–5; timeliness, staffing and dual-NOFA rules", "physical_pdf_pages": [2, 3, 4, 5]}, {"source_id": "EXP-R316132-SWIFT", "locator": "original pp. 1, 4–5; final $4 million Council authority", "physical_pdf_pages": [1, 4, 5]}, {"source_id": "EXP-HC2040-SWIFT", "locator": "original p. 1; separate June SDHC approval", "physical_pdf_pages": [1]}, {"source_id": "EXP-HCR25-043-SWIFT", "locator": "original p. 6; $4 million plus $4 million funding table", "physical_pdf_pages": [6]}]</t>
        </is>
      </c>
    </row>
    <row r="64" ht="66.5" customHeight="1">
      <c r="A64" t="inlineStr">
        <is>
          <t>SECTION-expansion-operating-periods</t>
        </is>
      </c>
      <c r="B64" t="n">
        <v>63</v>
      </c>
      <c r="C64" t="inlineStr">
        <is>
          <t>Further evidence · Expanded record review · October 18, 2026 Operating periods and throughput require different tests. Paul Mirabile: an unresolved period inconsistency 350-bed Paul Mirabile Center: FY2025 reporting narrative versus signed operating term. Reported operating year compared with the signed term Record July–December 2024 January–June 2025 CAPER / ESG return All-year operation → → All-year operation Signed FY2025 option July 1–December 31, 2024 Outside this signed term IBA closure account Closed December 2024 February IBA confirms closure The period statement needs correction or explanation. The reported 350 clients served is not disproved: the signed minimum includes 50 triage clients. The records do not establish false billing or quantify an overpayment. Sources: [CITY-FY25-CAPER] , original p. 24; all-year narrative ; [CITY-FY25-ESG-SAGE] , original p. 3; repeated narrative ; [NR53645063-M06] , original pp. 1–2, 4–5; six-month term and service minimum ; [EXP-IBA25-06-MIDYEAR] , original p. 15; December closure . Connections: low throughput alongside high occupancy FY2026 Connections; different performance denominators Measure Goal / contract Reported result Unduplicated individuals served 175 minimum 153; 22 below Average occupancy 95% good-faith target 98% Permanent destinations among all exits 26% good-faith target 40% Sources: [CITY-FY26-CAPER] , original p. 19; results and higher-needs explanation ; [NR53645063-M32] , original pp. 1, 4–5, 8; signed option and outcome table . The City attributes lower admissions to higher needs and longer stays. Review the housing bottleneck and accepted performance assessment; fewer admissions alone do not establish low demand or missing money. Good-faith outcome terms must remain distinct from an automatic breach finding. External evaluation check: RTFH’s report covering 2024 separates outreach ( 1,495 people / 1,270 households; 5% reported permanent exits) from flexible assistance ( 597 people / 489 households; 93% ). Its 96% at 12 months stability headline states no follow-up denominator or reached/unknown counts. Preserve the promising reported results; different groups are not a causal comparison, and retention cannot be reproduced from this publication. Source: [HF-RTFH-DIVERSION] , original pp. 1, 4–5, 8. Reading index · Sources · Methods and limits</t>
        </is>
      </c>
      <c r="D64" t="inlineStr">
        <is>
          <t>[{"source_id": "CITY-FY25-CAPER", "locator": "original p. 24; all-year narrative", "physical_pdf_pages": [24]}, {"source_id": "CITY-FY25-ESG-SAGE", "locator": "original p. 3; repeated narrative", "physical_pdf_pages": [3]}, {"source_id": "NR53645063-M06", "locator": "original pp. 1–2, 4–5; six-month term and service minimum", "physical_pdf_pages": [1, 2, 4, 5]}, {"source_id": "EXP-IBA25-06-MIDYEAR", "locator": "original p. 15; December closure", "physical_pdf_pages": [15]}, {"source_id": "CITY-FY26-CAPER", "locator": "original p. 19; results and higher-needs explanation", "physical_pdf_pages": [19]}, {"source_id": "NR53645063-M32", "locator": "original pp. 1, 4–5, 8; signed option and outcome table", "physical_pdf_pages": [1, 4, 5, 8]}, {"source_id": "HF-RTFH-DIVERSION", "locator": "original pp. 1, 4–5, 8; service groups, rates and monitoring", "physical_pdf_pages": [1, 4, 5, 8]}]</t>
        </is>
      </c>
    </row>
    <row r="65" ht="91.5" customHeight="1">
      <c r="A65" t="inlineStr">
        <is>
          <t>SECTION-expansion-access-model</t>
        </is>
      </c>
      <c r="B65" t="n">
        <v>64</v>
      </c>
      <c r="C65" t="inlineStr">
        <is>
          <t>Further evidence · Expanded record review · October 18, 2026 The full-year intake figures identify a bed-type constraint. Households and referral episodes are separate counting units Unique households Referral episodes Accommodated episodes 6,991 Household unit 34,457 Episode unit 2,813 Episode unit FY2026 coordinated shelter intake; July 9, 2026 minutes. Accommodated episodes: 8.16% (reported as 8%) . Households with ten or more referrals: 14% . Staff identified unavailable bottom bunks for men and women as the primary constraint. These full-year figures extend the earlier partial-year view. The unique unit is now households; neither an episode rate nor nominal vacancy is a unique-person denial or usable-bed rate. Sources: [SDHC-JUL9-2026-LANDING] , original pp. 1–2; full FY2026 intake and bottom-bunk constraint ; [EXP-SDHC-NAV-SLIDES] , original p. 8; prior-year intake series . The published walk-in model also changed Published access models and other service channels 2023 HRC January 2026 Hub 44 hours Advertised open hours weekly; walk-ins welcome. 12 hours Unscheduled walk-ins weekly: 1–3 p.m., Monday–Saturday. Other Hub routes: phone · email · appointments · 2-1-1/CIE. The panels compare published access models; they do not measure total service capacity. The January 2026 model describes a reduced operating budget, four on-site navigator roles and support from 13-plus existing DSDP staff. A narrower unscheduled window does not establish an equivalent reduction in total service availability. Sources: [EXP-HRC-FACTSHEET] , original p. 1; 2023 hours and walk-ins ; [EXP-HRC-23-054] , original pp. 3–4; predecessor model ; [EXP-SDHC-NAV-SLIDES] , original pp. 9–11, 13; Hub staffing, walk-in and other routes . Measure the workable offer. Record the required bed type, accessibility, actual intake route and repeat referrals separately from unique households. That permits an access test without converting repeated contacts into an invented person count. Use the existing tool, then verify the result. The DA launched Shelter Ready regionally on June 9, 2025 , following a North County pilot, to help workers locate and refer to available beds. HSSD and SDHC should establish which City programs participate and match availability, receiving-team acceptance and actual admission. The launch record does not establish CSIP integration, comprehensive coverage or placement outcomes. Source: [HF-SHELTER-READY] , original pp. 1–2. Reading index · Sources · Methods and limits</t>
        </is>
      </c>
      <c r="D65" t="inlineStr">
        <is>
          <t>[{"source_id": "SDHC-JUL9-2026-LANDING", "locator": "original pp. 1–2; full FY2026 intake and bottom-bunk constraint", "physical_pdf_pages": [1, 2]}, {"source_id": "EXP-SDHC-NAV-SLIDES", "locator": "original p. 8; prior-year intake series", "physical_pdf_pages": [8]}, {"source_id": "EXP-HRC-FACTSHEET", "locator": "original p. 1; 2023 hours and walk-ins", "physical_pdf_pages": [1]}, {"source_id": "EXP-HRC-23-054", "locator": "original pp. 3–4; predecessor model", "physical_pdf_pages": [3, 4]}, {"source_id": "EXP-SDHC-NAV-SLIDES", "locator": "original pp. 9–11, 13; Hub staffing, walk-in and other routes", "physical_pdf_pages": [9, 10, 11, 13]}, {"source_id": "HF-SHELTER-READY", "locator": "original pp. 1–2; launch, pilot, available-bed referrals and regional scope", "physical_pdf_pages": [1, 2, 3]}]</t>
        </is>
      </c>
    </row>
    <row r="66" ht="75" customHeight="1">
      <c r="A66" t="inlineStr">
        <is>
          <t>SECTION-expansion-usable-capacity</t>
        </is>
      </c>
      <c r="B66" t="n">
        <v>65</v>
      </c>
      <c r="C66" t="inlineStr">
        <is>
          <t>Further evidence · Expanded record review · October 18, 2026 Capacity changes carry different service and cost effects. Classification, emergency relocation and public-space reuse: distinct scopes and costs Case Capacity / event Fiscal effect and limit FJV · 4141 Pacific Highway Prior minimum 130 ; FY2027 planning: up to 112 interim + 18 senior transitional places, stays up to 24 months . $2,865,640 + $746,031 = $3,611,671 , equal to FY2026 cap. No 130 new beds established; approval is not executed agreement or usable occupancy. Newton · January 2026 January 1 flooding: approximately 325 people temporarily moved from Alpha Project at 16th and Newton to Balboa Park Municipal Gym; January 14 resolution. May third-quarter report: $539,542 temporary relocation and repairs. Disruption and response cost; no established negligence or 325 people left unsheltered. Safe STAY · SDHC offices Approximately 9,300 square feet ; up to 43 youth beds . No rent or deposit; common-area maintenance payable. January 2026 extension: 8.43% ; attached earlier lease: 14.81% , quarterly reconciliation. Approved 6–0 . [NR53645063-M14] original pp. 4–5; prior planning minimum [NR53645063-M16] original p. 2; prior FY2026 cap [SDHC-HCR26-016-LANDING] original pp. 1, 5; 112-bed scope and budget [SDHC-HCR26-029-LANDING] original pp. 1, 3, 5; 18 senior transitional beds [O46] original pp. 1–2; May 8 approval [CITY-R316588-NEWTON-EMERGENCY] original p. 1; evacuation and temporary location [EXP-CITY-FY26-Q3] original p. 82; relocation and repair cost [SDHC-HCR26-008] original pp. 1, 3, 7, 11, 30–31; program, recommendation and earlier signed lease [SDHC-JAN16-2026-MINUTES] original pp. 3–4; extension vote Safe STAY: current signed amendment, actual maintenance reconciliations, utilities, staffing and conversion costs determine complete cost. Different maintenance percentages alone do not prove an overcharge. Rachel’s Promise: its planned expansion, separate dated forecast amounts and August opening announcement now appear together in the expenditure-variance finding. Compare matching service periods before calling an underspend a service improvement. Reading index · Sources · Methods and limits</t>
        </is>
      </c>
      <c r="D66" t="inlineStr">
        <is>
          <t>[{"source_id": "NR53645063-M14", "locator": "original pp. 4–5; prior planning minimum", "physical_pdf_pages": [4, 5]}, {"source_id": "NR53645063-M16", "locator": "original p. 2; prior FY2026 cap", "physical_pdf_pages": [2]}, {"source_id": "SDHC-HCR26-016-LANDING", "locator": "original pp. 1, 5; 112-bed scope and budget", "physical_pdf_pages": [1, 5]}, {"source_id": "SDHC-HCR26-029-LANDING", "locator": "original pp. 1, 3, 5; 18 senior transitional beds", "physical_pdf_pages": [1, 3, 5]}, {"source_id": "O46", "locator": "original pp. 1–2; May 8 approval", "physical_pdf_pages": [1, 2]}, {"source_id": "CITY-R316588-NEWTON-EMERGENCY", "locator": "original p. 1; evacuation and temporary location", "physical_pdf_pages": [1]}, {"source_id": "EXP-CITY-FY26-Q3", "locator": "original p. 82; relocation and repair cost", "physical_pdf_pages": [82]}, {"source_id": "SDHC-HCR26-008", "locator": "original pp. 1, 3, 7, 11, 30–31; program, recommendation and earlier signed lease", "physical_pdf_pages": [1, 3, 7, 11, 30, 31]}, {"source_id": "SDHC-JAN16-2026-MINUTES", "locator": "original pp. 3–4; extension vote", "physical_pdf_pages": [3, 4]}]</t>
        </is>
      </c>
    </row>
    <row r="67" ht="180" customHeight="1">
      <c r="A67" t="inlineStr">
        <is>
          <t>SECTION-expansion-fire-closeout</t>
        </is>
      </c>
      <c r="B67" t="n">
        <v>66</v>
      </c>
      <c r="C67" t="inlineStr">
        <is>
          <t>Further evidence · Expanded record review · October 18, 2026 Fire records show both a repair closeout and persistent deficiencies. Travelodge notice and documented repair closeout Record Notice → Reinspection / disposition Travelodge September 3, 2025 Extension-cord violation. September 25, 2025 ANU-2563853: 1 of 1 repaired ; no Fire/Building Code violations found. 22 calendar days; before October 3 recheck date. Sources: [NR53761990] , original pp. 1, 3; September 3 notice ; [NR53761989] , original pp. 1–2; September 25 repair closeout . The August 12 JHAT form is a separate observation. These records support a detected and corrected condition; they do not establish a continuously present condition between visits or the site’s present-day status. VVSD notice and second inspection findings Record Notice → Reinspection / disposition Veterans Village 4141 Pacific Highway April 4, 2025 Three violations: alarm, riser and hood systems not all accounted for in The Compliance Engine. May 20, 2025 0 of 3 repaired . 13 alarm, 5 sprinkler and 7 hood-system open deficiencies / overdue tests; suppression-system address assignment unclear. Sources: [NR53761992] , original pp. 1, 3; April 4 initial notice ; [NR53761991] , original pp. 1, 3; May 20 second notice and TCE details . These are recorded inventory and maintenance failures. Three coded violations and 25 listed deficiencies are different units and may overlap. They do not establish 25 failed devices, a campuswide outage, the condition of a separately operated FJV shelter building, or a current unresolved condition. No later closeout was found in this six-record fire release. Earlier capital work is documented. The City’s FY2024 IDIS return records VVSD campus activity 7502 as completed November 21, 2023, with $233,195.63 funded and drawn through the program year; its closeout narrative says a centralized integrated fire-alarm system was installed. The April/May 2025 inspection findings therefore follow reported installation. The records do not identify whether the later TCE alarm deficiencies concerned that installed equipment, establish wasted funding, or close ANU-2523933. Equipment-level acceptance, inventory, testing and repair records remain the required join. Source: [CITY-FY24-CAPER-IDIS] , original pp. 72–73 (printed PR03 pp. 68–69); activity 7502 capital closeout . Reading index · Sources · Methods and limits</t>
        </is>
      </c>
      <c r="D67" t="inlineStr">
        <is>
          <t>[{"source_id": "NR53761990", "locator": "original pp. 1, 3; September 3 notice", "physical_pdf_pages": [1, 3]}, {"source_id": "NR53761989", "locator": "original pp. 1–2; September 25 repair closeout", "physical_pdf_pages": [1, 2]}, {"source_id": "NR53761992", "locator": "original pp. 1, 3; April 4 initial notice", "physical_pdf_pages": [1, 3]}, {"source_id": "NR53761991", "locator": "original pp. 1, 3; May 20 second notice and TCE details", "physical_pdf_pages": [1, 3]}, {"source_id": "CITY-FY24-CAPER-IDIS", "locator": "original pp. 72–73 (printed PR03 pp. 68–69); activity 7502 capital closeout", "physical_pdf_pages": [72, 73]}]</t>
        </is>
      </c>
    </row>
    <row r="68" ht="82.25" customHeight="1">
      <c r="A68" t="inlineStr">
        <is>
          <t>SECTION-expansion-monitoring-receipt</t>
        </is>
      </c>
      <c r="B68" t="n">
        <v>67</v>
      </c>
      <c r="C68" t="inlineStr">
        <is>
          <t>Further evidence · Expanded record review · October 18, 2026 A completion label did not establish accepted monitoring evidence. The FY2018 Father Joe’s Villages construction-monitoring correspondence separates a provider’s completion label from City verification. It concerns a historical construction grant; it does not measure current shelter outcomes. The 2023 receipt and verification sequence Date / record What the correspondence establishes February 27 Provider message labeled COMPLETED. February 28 and March 8 City requested underlying unduplicated-client reports and current improvement photographs; a later message was a fourth request. March 8 / 14, as later reported Provider said attachments had been sent; City said it could not locate them. March 22 At 08:01 City acknowledged photos and spreadsheets and said review would follow. At 13:14 it confirmed only January–March 2019 photos; receipt of after/current photos remained unconfirmed. Sources: [NR24157946] , original pp. 1–4; completion subject and City requests ; [NR24157945] , original pp. 1–3; competing transmission and receipt accounts ; [NR24158001] , original pp. 1–3; March 22 acknowledgment and partial-photo clarification ; [NR24158002] , original pp. 1–2; provider’s March 21 before/during-photo transmittal . Counterevidence matters: the City acknowledged receipt of some evidence, then qualified which photos had arrived. Receipt is not final acceptance, eligibility verification or monitoring closeout. The record does not establish fabricated client counts, unbuilt improvements, a recoverable loss or fraud. Participant-level attachments are not reproduced. Make each evidence state auditable A useful monitoring register would give the requirement, due date, transmission ID, received attachment hash, reviewer, validation result and closeout decision distinct fields. A provider’s “completed” subject line and an agency’s “received” acknowledgment should not silently become the same state. This is an implementation recommendation supported by the documented receipt problem. Reading index · Sources · Methods and limits</t>
        </is>
      </c>
      <c r="D68" t="inlineStr">
        <is>
          <t>[{"source_id": "NR24157946", "locator": "original pp. 1–4; completion subject and City requests", "physical_pdf_pages": [1, 2, 3, 4]}, {"source_id": "NR24157945", "locator": "original pp. 1–3; competing transmission and receipt accounts", "physical_pdf_pages": [1, 2, 3]}, {"source_id": "NR24158001", "locator": "original pp. 1–3; March 22 acknowledgment and partial-photo clarification", "physical_pdf_pages": [1, 2, 3]}, {"source_id": "NR24158002", "locator": "original pp. 1–2; provider’s March 21 before/during-photo transmittal", "physical_pdf_pages": [1, 2]}]</t>
        </is>
      </c>
    </row>
    <row r="69" ht="62.25000000000001" customHeight="1">
      <c r="A69" t="inlineStr">
        <is>
          <t>SECTION-duties</t>
        </is>
      </c>
      <c r="B69" t="n">
        <v>68</v>
      </c>
      <c r="C69" t="inlineStr">
        <is>
          <t>Existing civilian scope · candidate additions are not established savings Keep sworn duties covered. An operation already has civilian crews and police. You need someone who can help with placement. A different uniform will not tell you who has an available option or who owns the next step. Chief Environmental Services Department (ESD) already manages civilian abatement. The police manual describes visible presence, peacekeeping and staff/contractor safety; the audit also reports volunteer checks at many remote sites. Source: [S01] , original pp. 10, 39, 43 / printed pp. 5, 34, 38 ; [V15] , original p. 27; abatement roles . The San Diego Police Department (SDPD) May 2026 Neighborhood Policing Division (NPD) manual assigns Neighborhood Policing Team (NPT) sergeants to “Receive, evaluate, and assign” complaints. The separable administrative share is unmeasured. Source: [V15] , original p. 21; NPT Sergeant duties . 1 · Intake, routing and updates Proposed addition: HSSD desk lead, trained support staff and analyst; retain police judgment/escalation. Before transfer: measure eligible volume and paid time, name supervision, test routing and identify an expenditure reduction or other lawful funding. 2 · Voluntary placement and basic transport Proposed addition: qualified placement/transport capacity with confirmed admission and consent; HOT is not the basic transport unit. Before transfer: measure trips/hours and price staff, vehicles, insurance, access, safety and backfill. [V15] , original pp. 18–19, 25–27 3 · Outreach and follow-through Existing: clinical partners and civilian services. Proposed: added provider case scope with HSSD accountable for handoffs. Before funding: prove the increment, credentials, coverage, current price and recourse; do not rebadge current work. [S03] , original p. 61; HOT partnership Eligibility test: no police power, investigative judgment, required sworn attestation or unresolved immediate-safety duty. Qualifications include training, supervision, language/accessibility, privacy permission and any required license. Reading index Sources Methods / license</t>
        </is>
      </c>
      <c r="D69" t="inlineStr">
        <is>
          <t>[{"source_id": "S01", "locator": "original pp. 10, 39, 43 / printed pp. 5, 34, 38", "physical_pdf_pages": [10, 39, 43]}, {"source_id": "V15", "locator": "original p. 27; abatement roles", "physical_pdf_pages": [27]}, {"source_id": "V15", "locator": "original p. 21; NPT Sergeant duties", "physical_pdf_pages": [21]}, {"source_id": "V15", "locator": "original pp. 18–19, 25–27", "physical_pdf_pages": [18, 19, 25, 26, 27]}, {"source_id": "S03", "locator": "original p. 61; HOT partnership", "physical_pdf_pages": [61]}]</t>
        </is>
      </c>
    </row>
    <row r="70" ht="116.25" customHeight="1">
      <c r="A70" t="inlineStr">
        <is>
          <t>SECTION-finance</t>
        </is>
      </c>
      <c r="B70" t="n">
        <v>69</v>
      </c>
      <c r="C70" t="inlineStr">
        <is>
          <t>Illustrative financing · no Police reduction has been identified No verified saving funds this model. Another team is supposed to help. You need a receiving contact, a confirmed next step and funded coverage for that team to do the work. A policy design to price, not approved funding. Candidate component Illustrative annual ceiling Civilian desk / review / reserve $700,000 Added qualified provider scope $250,000 Housing assistance $500,000 Sanitation access / servicing $750,000 Total comparison ceiling $2,200,000 No paid expenditure reduction is verified. The chart assumes no other funding and excludes any additional backfill. Transition or other omitted costs could enlarge the gap. Hypothetical annual cases. Each bar totals the $2.2 million comparison ceiling; the hatched portion is unfunded replacement. Chart data: all cases use a $2.2 million comparison ceiling; no reduction is verified. Hypothetical annual case Assumed eligible reduction Unfunded gap before extra costs Redeployment only $0 $2,200,000 Partial reduction only $1,000,000 $1,200,000 Full eligible reduction $2,200,000 $0 The three cases are also available as live text: $0 reduction → $2.2m gap; $1m → $1.2m gap; $2.2m → $0 gap . They do not establish available cash. CFO Chief Financial Officer (CFO) bridge: name fund, appropriation, obligations, ending paid cost, date and all replacement/transition/backfill costs. Show first-year and recurring balance. HSSD prices the receiving team; the Police Chief identifies retained work and coverage. Decision requirements . HOT is 52.3% of the reported $9.869m Outreach subtotal. That share does not establish an inappropriate allocation. Preserve useful clinical partnerships; price the specific added work. Source: [FPB02] , original pp. 4–5, 7 . Reading index Sources Methods / license</t>
        </is>
      </c>
      <c r="D70" t="inlineStr">
        <is>
          <t>[{"source_id": "FPB02", "locator": "original pp. 4–5, 7", "physical_pdf_pages": [4, 5, 7]}]</t>
        </is>
      </c>
    </row>
    <row r="71" ht="88.75" customHeight="1">
      <c r="A71" t="inlineStr">
        <is>
          <t>SECTION-scorecard</t>
        </is>
      </c>
      <c r="B71" t="n">
        <v>70</v>
      </c>
      <c r="C71" t="inlineStr">
        <is>
          <t>Proposed measures · units and denominators agreed before launch Track admission, quality and follow-up. Keep each endpoint visible Receiving team Acceptance and a usable next step Admission Verify entry separately Retention Check matured housing status; preserve unknowns You lose your phone and miss an appointment. Your outcome is unknown; your need remains. Count the uncertainty and efforts to reconnect. HSSD is the proposed service-quality owner; domain leads retain their duties. Measure Numerator / denominator or evidence unit Funding / work Ending paid expenditure, full replacement/transition/backfill costs and released duties/hours; consistent fiscal periods. CFO owns the bridge. Dignity / access Report invitations, responses, barriers, independent observations/case findings and complaint corrections separately. Do not collapse these into a satisfaction score. Timely handoff · M01 Confirmed receiving-team acceptance and usable next step within two business days / all agreed referrals whose deadline has passed. Housing reach · M02 Unique verified interim admissions and permanent placements, separately / the full eligible operation cohort at O + 30/90/180 days. Retention · M03 Verified maintained housing / all permanent placements whose D-day window has matured. Show confirmed loss and unknowns beside that share. Unknown follow-up · M04 Unconfirmed D-day housing status / all corresponding matured placements. Keep D = 30, 90 and 180 separate. Safety / sanitation Incidents, injuries, emergency assistance, coverage and complaints; hazards addressed, facilities/access and operation counts. Declare each exposure denominator. HSSD Clock: O is the dated operation; T is actual program launch. A retention window starts at verified permanent admission, not at O or T. Unknown people remain in the eligible denominator. Baseline: eight prelaunch weeks with the same definitions. Match phased comparable operations on hazard, geography, workload, service availability and cohort needs; disclose unmatched cases and nonresponse. Do not withhold help for a control or infer causation from an uncontrolled trend. Trigger and response rules | Worked denominators | Cohort inclusion . Full field definitions and owners: Measurement-Specification.json and Proposed-Data-Dictionary.csv in Evidence.zip . Reading index Sources Methods / license</t>
        </is>
      </c>
      <c r="D71" t="inlineStr">
        <is>
          <t>[]</t>
        </is>
      </c>
    </row>
    <row r="72" ht="180" customHeight="1">
      <c r="A72" t="inlineStr">
        <is>
          <t>SECTION-triggers</t>
        </is>
      </c>
      <c r="B72" t="n">
        <v>71</v>
      </c>
      <c r="C72" t="inlineStr">
        <is>
          <t>Proposed thresholds · not City benchmarks or current performance Predefine responses to service and funding failures. Preapprove thresholds, denominator rules and proportionate corrective authority. Trigger Response / accountable owner Unfunded gap, missing required approval or uncovered essential duty No affected launch/expansion. HSSD executive lead resizes scope or obtains lawful funding; CFO certifies finance. Credible coercion, retaliation or serious safety/privacy risk Same-day independent escalation. HSSD names the independent recipient and safety/privacy backup before launch; protect the person and continuing help. No count threshold or waiting period. Timely handoffs below 90%, or unknown matured follow-up above 10%, in two consecutive non-overlapping 28-day windows HSSD produces a corrective plan within ten business days of detection. Independent reviewer examines causes and barriers; do not remove hard-to-reach people. What the clock includes Handoff: starts at informed referral agreement; ends when the receiving lead accepts, a usable next step is confirmed and the participant is informed. A late clock is never reset. Business days: exclude weekends and City holidays. Acknowledge complaints within two business days; provide a substantive response or dated update within ten. Oversight: weekly internal checks, 28-day trigger reviews, monthly fiscal reconciliation and quarterly public aggregates. Serious risks escalate the same day. HSSD Small counts: the proposed automatic rate trigger requires at least 20 eligible observations in each window. Below that, retain every case and independently review counts/patterns; do not declare rate compliance from a small sample. Privacy suppression is a separate rule. Basis: 90%, 10%, 20 observations and the window lengths are normative starting choices, not empirically validated standards. Review feasibility, baseline variation, participant input and uncertainty before approval. Record any changes before launch. Matching draft clauses | Independent review and privacy . Reading index Sources Methods / license</t>
        </is>
      </c>
      <c r="D72" t="inlineStr">
        <is>
          <t>[]</t>
        </is>
      </c>
    </row>
    <row r="73" ht="79" customHeight="1">
      <c r="A73" t="inlineStr">
        <is>
          <t>SECTION-gates</t>
        </is>
      </c>
      <c r="B73" t="n">
        <v>72</v>
      </c>
      <c r="C73" t="inlineStr">
        <is>
          <t>Two decision clocks · dates below are proposed calendar-day milestones The comparison and transfer need separate decisions. Planning clock Origin: Council adoption Adoption Policy + planning Mayor names lead; identify resources. +30 days Inventory Tasks, paid time, barriers and permissions. +60 days Public return Prices and finance bridge; available independent review. Separate decision · funding + readiness Date undetermined; required approvals precede launch. All six gates must be met. The CFO, Police Chief and HSSD Director must independently sign and publish readiness certifications before any affected duties or funds transfer. Operating clock Origin: approved launch T Launch T Approved scope begins Funded receiving team; safety, access and privacy. T +180 days Independent operating review Quality, cost and work; safety, housing and unknowns. Two origins: adoption starts planning; approved launch starts operation. All periods are calendar days. Chart text: adoption and launch are separate origins; all periods are calendar days. Proposed milestone Deliverable Boundary ADOPTION Policy + planning Mayor names lead;
identify resources. +30 DAYS Inventory Tasks, paid time,
barriers and permissions. +60 DAYS Public return Prices and finance bridge;
available independent review. SEPARATE DECISION Funding + readiness Date undetermined; required approvals precede launch. LAUNCH T Approved scope begins Funded receiving team;
safety, access and privacy. T +180 DAYS Independent operating review Quality, cost and work;
safety, housing and unknowns. Live-text sequence: adoption → +30 inventory → +60 public return → separate approval/readiness gate, date undetermined → launch T → T +180 operating review. CC Day 60: name missing items, owners, reasons and dates; Council selects priced options. An incomplete return permits no affected transfer. Identify planning resources and procurement/labor/legal milestones at adoption; schedule feasibility remains unverified. Charter sections 69–73 constrain the budget vehicle. No transfer exception or eligible $2.2m balance is established; City staff must verify authority. Source: [CHAR01] , original pp. 1–3, 5; sections 69–70, 72–73 . Later placements require later retention follow-up; the proposed final cohort return is O +390 days. Preserve assistance during any pause. You still need somewhere to sleep. Referrals can be recorded while safe sleep remains unavailable. Keep barriers, unresolved need and the next responsible person visible, including when illness, anger or circumstances complicate service. Dignity requires humane treatment, verified admission and housing follow-up, and funded delivery. Appendix A supplies the clauses; the methods and proof pack make findings testable. Reading index Sources Methods / license</t>
        </is>
      </c>
      <c r="D73" t="inlineStr">
        <is>
          <t>[{"source_id": "CHAR01", "locator": "original pp. 1–3, 5; sections 69–70, 72–73", "physical_pdf_pages": [1, 2, 3, 5]}]</t>
        </is>
      </c>
    </row>
    <row r="74" ht="180" customHeight="1">
      <c r="A74" t="inlineStr">
        <is>
          <t>SECTION-deep-coverage</t>
        </is>
      </c>
      <c r="B74" t="n">
        <v>73</v>
      </c>
      <c r="C74" t="inlineStr">
        <is>
          <t>Evidence findings · Follow-up verification · October 17, 2026 Tested populations and reproduced evidence trails. Audit Coverage is limited to the populations below. Complete-family tests found additional errors, explanations and counterevidence beyond search-only review. The retained coverage matrices identify which files, relationships and absence claims were tested; they do not establish exhaustion of the entire archive. Relational audit coverage; not a census of the 17 GB Population Completed test / remaining limit 46 XLSX originals 45 billing workbooks + one AP extract; 130 sheets, 440,323 stored cells, 17 version pairs and 1,047 summary-to-detail dependencies. Two legacy XLS detail files were outside this formula pass. 155-file inspection release 149 JHAT forms normalized; six fire records separately inventoried. Site/date identity, duplicate bodies, field polarity and successive issues tested. 23 full APRs + three fragments Periods, filters, project IDs, Q5 columns and physical-page locators crosswalked; 12 same-period project joins. 18 tracked absence entries Expected record, obligation/request basis, tested release/custody, alternate evidence, permissible conclusion and remaining question recorded. The absent cells are not a missed-inspection count. The JHAT forms occupy 146 of 189 possible site/tier-month cells over the 21-month grid: 43 cells are empty in this release. No universal monthly inspection requirement or complete active-site schedule establishes that denominator. A separate SBCS draft describes monthly JHAT visits outside the 149-form series. Sources: [NR35389110] , original p. 5, section 3.2.2; SDHC participation in regularly scheduled City JHAT reviews ; [NR57670753] , original p. 3; attributed August 2024 JHAT inspection narrative . Likewise, the five APRs previously subtotaled at 1,117 Safe Parking participants omit a sixth released SDPD H Barracks project with three served and zero exits. The complete six-report sum is 1,120 project-person records ; 262 permanent exits is unchanged. Cross-project unique people and a matched cost universe remain unknown. Sources: [NR57670451] , original pp. 1–2; project 1535 and three served, zero exits . Coverage matrices, cell/version ledgers, absence classifications, search logs and portable checks accompany the evidence package. They distinguish native extraction, visual transcription and completed tests from hypotheses. Unmatched records are classified separately from established errors; no inference of misconduct is made. Follow-up findings Sources Methods / license</t>
        </is>
      </c>
      <c r="D74" t="inlineStr">
        <is>
          <t>[{"source_id": "NR35389110", "locator": "original p. 5, section 3.2.2; SDHC participation in regularly scheduled City JHAT reviews", "physical_pdf_pages": [5]}, {"source_id": "NR57670753", "locator": "original p. 3; attributed August 2024 JHAT inspection narrative", "physical_pdf_pages": [3]}, {"source_id": "NR57670451", "locator": "original pp. 1–2; project 1535 and three served, zero exits", "physical_pdf_pages": [1, 2]}]</t>
        </is>
      </c>
    </row>
    <row r="75" ht="71.75" customHeight="1">
      <c r="A75" t="inlineStr">
        <is>
          <t>SECTION-methods</t>
        </is>
      </c>
      <c r="B75" t="n">
        <v>74</v>
      </c>
      <c r="C75" t="inlineStr">
        <is>
          <t>Methods · provenance, disclosure, publication and license Methods, authorship and the limits of this record. Audit Evidence cutoff: October 18, 2026. Release verification: October 19, 2026. This selected-record investigation combines physical-page review, native spreadsheet locators, approved-invoice/AP reconciliation, operational identifier linkage, outcome-definition checks and hypothetical costing. It is not a census, field study or causal evaluation. Publication dates and observation periods are separate. The tested billing and operational discrepancies do not by themselves establish unlawful conduct, intent or comprehensive causal effects. The historical conflict violation is separately established in the acquisition finding. Formal finding and its limits . A deeper City search completed 36 queries, complete attachment inventories for 28 selected requests and public-timeline review. Additional archive, dataset and publisher searches located native Cal ICH data and the Council/County records in verified control findings. OCR supported discovery; consequential passages were checked against originals. Downloading or indexing does not mean every page was manually reviewed. See the relational coverage and absence tests . Reproduce the finding. Sources have parent hashes; selected unchanged PDF pages have separate included-file hashes and original-page maps. The evidence ledger links claims and native locations. Native Excel formulas, AP document/line and clearing identifiers, and exact PDF locators support the acquired checks. SAP cost-object joins remain required evidence, not an acquired payroll chain. Source removal tests dependency; it does not validate an intervention. Missingness, unaligned populations, rate changes, accounting revisions and possible backfill remain explicit. Author and assistance David L. Condrey independently authored and self-funded the report. He develops related records/provenance software, including On Record. The policy options do not require purchasing that product. No commissioned institutional study, City endorsement or journal peer review is claimed. AI-assisted tools supported discovery, extraction, calculation, drafting, revision, visualization and production. Automated checks and AI review are not independent peer review. No representative participant interviews or independent field observations were collected for this revision. Personal essays informed writing style; they are not evidence of the City encounters examined here. Publication and reuse Report SDHA-2026-01, version 1.3. The original 24-page version 1.2 is preserved at doi:10.5281/zenodo.23405739 . The Zenodo companion-files link on page one opens the latest published version; select the version matching this PDF. This is a fixed report edition. Automated dataset supplements do not revise its findings or signed files. Any later correction or substantive report revision requires a separately identified release; earlier editions and their evidence snapshots remain preserved. © 2026 David L. Condrey. Original report text, original figures and original analytical contributions are licensed under Creative Commons Attribution 4.0 International (CC BY 4.0). Give appropriate credit, link to the license and indicate changes. Cited source records, source excerpts, third-party images and other third-party material retain their own rights and status. No rights are asserted in public-domain material. Software with a separate license retains that license. Read CC BY 4.0 . Plain-text/HTML reading editions accompany the tagged PDF. Accessibility checks are reported separately; no PDF/UA or screen-reader conformance certification is claimed. Reading index Sources Methods / license</t>
        </is>
      </c>
      <c r="D75" t="inlineStr">
        <is>
          <t>[]</t>
        </is>
      </c>
    </row>
    <row r="76" ht="103.25" customHeight="1">
      <c r="A76" t="inlineStr">
        <is>
          <t>SECTION-direction</t>
        </is>
      </c>
      <c r="B76" t="n">
        <v>75</v>
      </c>
      <c r="C76" t="inlineStr">
        <is>
          <t>Appendix A · Proposed Council direction Draft direction: policy and inventory CC Purpose: improve voluntary-service access and quality, align suitable duties with qualified staff, and require an auditable financing decision. This draft requests executive work and future Council consideration. It appropriates no $2.2 million and changes no employment terms by itself. Planning clock: adoption + 30/+ 60 calendar days. Operating clock: actual launch T; independent review at T + 180 days. A public return starts no transfer. 1 · Policy and single executive lead Adopt an auditable service standard for dignity, understandable communication, informed choice, barrier response, continuity and non-retaliatory recourse. Map existing obligations and remedies before adding requirements. Support additional civilian leadership only for eligible duties still assigned to police, preserving necessary safety functions. Request that the Mayor designate the HSSD Director as the single accountable executive lead. At adoption identify lawful planning resources, staff capacity and the route to procure independent review; return an itemized appropriation request before commissioning any unfunded work. 2 · Inventory by adoption + 30 calendar days (a) Tasks: candidate duties, current assignments/civilian scope, eligibility test, sampled volume and paid time. Police Chief supplies the roster; CFO supplies expenditure records. (b) Service quality: existing requirements, feedback/monitoring/remedies, invitation coverage, documented gaps and proposed amendments. (c) Preconditions: required labor, classification, contract, privacy and safety approvals, their owners and actual lead times. (d) Added capability: what each proposal adds beyond existing delivery; do not relabel current civilian capacity as new. (e) Resources and schedule: planning/review funding, procurement route and milestones; identify missing authorization before commissioning work. Improvements within existing authority should proceed during review. Staff must confirm the agenda vehicle and legal/labor/procurement sequence before introduction. Suggested referral is the appropriate Council budget/policy oversight committee, with Independent Budget Analyst fiscal review and City Attorney advice. This report creates no engagement for the City Auditor. Supporting findings: eligible duties | existing service obligations | replacement financing . Critical-path records R01–R06 . Reading index Sources Methods / license</t>
        </is>
      </c>
      <c r="D76" t="inlineStr">
        <is>
          <t>[]</t>
        </is>
      </c>
    </row>
    <row r="77" ht="74.25" customHeight="1">
      <c r="A77" t="inlineStr">
        <is>
          <t>SECTION-direction-finance</t>
        </is>
      </c>
      <c r="B77" t="n">
        <v>76</v>
      </c>
      <c r="C77" t="inlineStr">
        <is>
          <t>A.2 · Proposed Council direction · continued Draft direction: a priced public return 3 · Return by adoption + 60 calendar days IBA Request a public comparison of current assignments plus stronger coordination, targeted civilian transfer, and placement/access investment. For each option state the incremental capability, service-quality standard, current full price, eligible funding, implementation timetable and opportunity cost. Use $2.2 million only as an illustrative annual comparison ceiling, not a minimum transfer or presumed available balance. Require a CFO-signed bridge; released capacity is not cash. Required financing field Responsible official / evidence What paid spending ends CFO: fund, appropriation, obligations, eligible balance, cost object, amount and effective date. Police Chief: measured task/hours and retained duties. What replaces it HSSD Director: dated personnel/provider/transport/sanitation and administration prices, qualified coverage, access and supervision. First-year and recurring balance CFO: one-time transition, recurring/temporary backfill, restricted funds, existing savings assumptions, evaluation and any remaining gap. 4 · Independent review and further vote Request a conflict-screened reviewer independent of implementation, selected through lawful procurement, to examine eligibility, prices, financing, participant-quality evidence, alternatives and evaluation design. Name the selection/contract owner, confirmed procurement milestones and actual funded review scope. Do not presume the review can be procured and completed in 60 days. Return on time even if incomplete. Attach available reviewer findings and the administration’s response; list each missing price, record, approval or review with one owner, reason and completion date. Calendar public consideration and the further lawful decision. No task/funding transfer follows automatically from this planning direction or an incomplete return. No current priced review bid, planning appropriation or procurement schedule is established by this record. Readiness requirements | Quote-and-Records-Request-Templates.txt in Evidence.zip . Reading index Sources Methods / license</t>
        </is>
      </c>
      <c r="D77" t="inlineStr">
        <is>
          <t>[]</t>
        </is>
      </c>
    </row>
    <row r="78" ht="73.5" customHeight="1">
      <c r="A78" t="inlineStr">
        <is>
          <t>SECTION-direction-readiness</t>
        </is>
      </c>
      <c r="B78" t="n">
        <v>77</v>
      </c>
      <c r="C78" t="inlineStr">
        <is>
          <t>A.3 · Proposed Council direction · continued No readiness, no transfer. 5 · Six readiness gates; independent certifications Chief Require the Mayor’s designated executive lead to publish the actual launch date T and the six readiness gates below. Zero duties or funds transfer until the CFO, Police Chief and HSSD Director independently sign and publish evidence-backed readiness certifications. Each signatory records supporting evidence, approval date, remaining gaps and resolution. City Attorney advises on authority and data terms; advice is not presumed approval. A missing essential condition blocks the affected launch or expansion. Six readiness gates: responsible officials and required evidence Condition Proposed signatory Evidence required Gate 1 Finance CFO Itemized appropriation, eligible resources, paid reduction, replacement and all transition/backfill costs. Gate 2 Task and safety coverage Police Chief Retained police duties, lawful escalation, tested routing/transport and no uncovered essential function. Gate 3 Qualified replacement HSSD Director Staffed/supervised scope, credentials, language/disability access and confirmed receiving services. Gate 4 Employment and contracts Personnel/labor-relations lead Required classification/labor steps and executed contracts, with procurement confirmation. Gate 5 Data and participant protection HSSD Director Data-owner permissions, legal advice, minimum fields, retention, incident handling and an accessible independent complaint route. Gate 6 Measurement and review HSSD Director Funded independent recipient/reviewer; baseline, definitions, thresholds, windows and public reporting calendar. 6 · Enforceable standards within lawful instruments Map existing duties, feedback and remedies first. Request amendments to new/renewed agreements and protocols only where a documented gap warrants them and lawful authority permits. Name the responsible manager, monitoring schedule, independent escalation recipient and proportionate remedies with notice, review and continuity safeguards. Use confidential feedback, independent observation/case review, barrier follow-through and complaint resolution. Include informed declines and inaccessible offers where feasible; disclose coverage. Do not condition ordinary help on research participation or favorable feedback, or treat an unexplained “refused services” label as a complete assessment. Readiness-Certificate.txt and Proposed-Data-Dictionary.csv are supplied as proposed forms, not signed City records. Actual contacts, permissions and resources must be entered before launch. Reading index Sources Methods / license</t>
        </is>
      </c>
      <c r="D78" t="inlineStr">
        <is>
          <t>[]</t>
        </is>
      </c>
    </row>
    <row r="79" ht="162.75" customHeight="1">
      <c r="A79" t="inlineStr">
        <is>
          <t>SECTION-direction-monitoring</t>
        </is>
      </c>
      <c r="B79" t="n">
        <v>78</v>
      </c>
      <c r="C79" t="inlineStr">
        <is>
          <t>A.4 · Proposed Council direction · continued Draft direction: monitor and correct 7 · Report planning separately from operation HSSD Require the HSSD Director to publish progress against adoption + 30/+ 60 calendar days separately from operational results. Publish launch T before the first full operating week. Use the approved cohort and metric definitions; no affected launch without readiness. Beginning at launch, require weekly internal checks, consecutive non-overlapping 28-day trigger reviews, monthly fiscal reconciliation and quarterly aggregate public reports. Show spending, duties/coverage, dignity/access, feedback invitation/response coverage, continuity, housing reach, matured retention, unknowns, adverse events, safety and sanitation. Apply approved disclosure controls. 8 · Independent review and corrective action Require independent operating review at T + 180 calendar days. Unfunded gaps, missing approvals or uncovered essential duties block affected launch/expansion. Credible serious harm, coercion, retaliation or privacy risk requires same-day independent escalation and proportionate safeguards, without a minimum count or a two-window wait. For proposed handoff rates below 90% or unknown follow-up above 10% in two consecutive non-overlapping 28-day windows, require a corrective plan within ten business days of detection. Preapprove the denominator rules and small-count treatment on the scorecard. Small counts receive independent case/count review rather than an automatic rate-compliance claim. Keep the alternative responsible service lead and assistance through any pause/reassignment. Expansion requires a separate priced, funded decision. Continue matured follow-up after the first review; publish the final primary operation-cohort return by O +390 days under the proposed observation windows. 9 · Preserve the legal and financial boundary All appropriation, contracting, personnel and data decisions remain subject to the Charter, applicable law, labor requirements and approvals. Use the next lawful budget/amendment process; infer no midyear salary-transfer exception. Report savings only for demonstrated expenditure reductions. Identify actual full costs in the further Council vote. All thresholds/windows remain proposed until approved. Trigger rationale and clocks | Maturity and denominators | Operation O and cohort rules . Reading index Sources Methods / license</t>
        </is>
      </c>
      <c r="D79" t="inlineStr">
        <is>
          <t>[]</t>
        </is>
      </c>
    </row>
    <row r="80" ht="43.25" customHeight="1">
      <c r="A80" t="inlineStr">
        <is>
          <t>SECTION-model</t>
        </is>
      </c>
      <c r="B80" t="n">
        <v>79</v>
      </c>
      <c r="C80" t="inlineStr">
        <is>
          <t>Appendix B · Illustrative cost model and sensitivity Price the capability and the alternative. The candidate is a policy design to cost, not an optimal allocation finding. Candidate annual component Ceiling Output to price Desk, independent review, reserve $700,000 Four support specialists + analyst; receiving-desk scope, supervision/access, review and contingency. Qualified provider scope $250,000 Added service/clinical hours, caseload, handoff coverage and transport responsibilities; no clinical FTE count assumed. Housing assistance $500,000 At most 50 full $10,000 packages if all dollars are eligible and available for assistance. Sanitation access/servicing $750,000 Actual sites, accessible hours, facilities, cleaning and servicing coverage. Total comparison ceiling $2,200,000 Not an appropriation, quoted package or certified Police balance. The alternative must use the same cost boundary A 95-package difference is an opportunity-cost screen, not 95 additional placements. Illustration at $2.2m Assistance / sanitation Arithmetic only Candidate transfer bundle $500,000 / $750,000 50 capped packages; $950,000 allocated to desk/provider capability. Capacity-first illustration $1,450,000 / $750,000 145 capped packages before any separately required delivery/administration/oversight cost. CFO Capacity-first has unpriced delivery staff. Compare the same administration, access, delivery and evaluation costs; reduce package counts if those costs use assistance dollars. The proposed City pricing return would require dated, scoped provider, transport, sanitation and evaluation quotes; CFO would identify lawful funding. The $250,000/$750,000 entries are model allowances. Model allowances are not vendor quotes. Quote templates and Price-Status.json list required fields and gaps. | Editable model inputs | Historical staffing and sensitivity . Reading index Sources Methods / license</t>
        </is>
      </c>
      <c r="D80" t="inlineStr">
        <is>
          <t>[]</t>
        </is>
      </c>
    </row>
    <row r="81" ht="180" customHeight="1">
      <c r="A81" t="inlineStr">
        <is>
          <t>SECTION-staffing</t>
        </is>
      </c>
      <c r="B81" t="n">
        <v>80</v>
      </c>
      <c r="C81" t="inlineStr">
        <is>
          <t>B.2 · Illustrative cost model and sensitivity · continued Separate startup from recurring cost. Staff compensation is from October 2025; operations, startup and review are assumptions. Five-person desk screen First year Recurring screen 4 support specialists × $100,302 + analyst $158,185 $559,393 $559,393 Operations allowance: 5 × $5,000 $25,000 $25,000 Startup allowance $50,000 Excluded Independent review allowance; not a bid $30,000 Renewed review unpriced Total before reserve $664,393 $584,393 Uncommitted first-year balance inside $700,000 $35,607 Not a new funding source Source: [BK23] , original pp. 1, 10; presentation date and total compensation . Higher compensation can break the cap; fewer staff reduces modeled throughput. Price case Desk + review, year one Processing capacity 4 specialists + analyst; base $664,393 38,400 jobs/year 4 specialists + analyst; +25% compensation $804,241.25 38,400 jobs/year 3 specialists + analyst; +25% compensation $673,863.75 28,800 jobs/year Same staffing-screen cost boundary; processing capacity is separately stated in the last column. IBA Unmeasured inputs: ten minutes per processing job and 1,600 productive hours per specialist. Four specialists model 4 × 1,600 × 60 / 10 = 38,400 jobs, below 43,758 raw FY2026 Get It Done reports. Excluding all 13,257 parent-linked reports yields 30,501, a sensitivity—not a rule that linked reports require no work. Source: [GID26] , FY2026 request aggregate and method; reports, not people . Measure the eligible clerical share, actual handling time, current civilian capacity and non-GID work. Obtain current Personnel total compensation and all replacement costs before a feasibility claim. Full first-year screen excluding reserve: $2,164,393. Recurring screen excluding renewed review, startup and reserve: $2,084,393. These are model boundaries, not current quotes or actual spending. Evidence-Ledger.xlsx contains editable inputs and checked formulas. Reading index Sources Methods / license</t>
        </is>
      </c>
      <c r="D81" t="inlineStr">
        <is>
          <t>[{"source_id": "BK23", "locator": "original pp. 1, 10; presentation date and total compensation", "physical_pdf_pages": [1, 10]}, {"source_id": "GID26", "locator": "FY2026 request aggregate and method; reports, not people", "physical_pdf_pages": []}]</t>
        </is>
      </c>
    </row>
    <row r="82" ht="180" customHeight="1">
      <c r="A82" t="inlineStr">
        <is>
          <t>SECTION-privacy</t>
        </is>
      </c>
      <c r="B82" t="n">
        <v>81</v>
      </c>
      <c r="C82" t="inlineStr">
        <is>
          <t>Appendix C · Proposed participant and data protections Declare the cohort before counting results. Proposed cohort sequence Enroll Preserve the full eligible population Freeze Later entrants remain separately visible Follow up Use actual admission maturity Return Publish known outcomes and unknowns Public Operation O, program launch T and Council adoption are different origins. The windows below are planning defaults to approve or revise using baseline feasibility and participant/data-owner input; they are not validated coverage rules. These are proposed calendar-day windows, not service-eligibility deadlines. Operation-relative point Proposed primary analysis rule O −14 through O +30 days Identify all eligible people, including known temporarily absent people and later discoveries within that window. Record entry time/route and uncertain eligibility. After O +30 Freeze primary enrollment; track later entrants in a separately disclosed cohort. Never deny ordinary help because a person falls outside an evaluation window. O +30 / +90 / +180 Report full-cohort progress. Permanent placements verified by O +180 enter primary retention follow-up; later placements remain in a separate visible series. Admission +30 / +90 / +180 Measure each permanent placement’s actual matured status; do not start the clock at operation or launch. By O +360; return by O +390 The latest primary 180-day follow-up matures by O +360; allow 30 calendar days for the final cohort return. Continue earlier quarterly reports. Deduplication: assign a person one primary operation for this analysis; link repeat operations as episodes. Deduplicate cross-operation totals, preserve late discoveries/revisions and report uncertain eligibility and known-but-not-located people. The observed cohort is not a census. Use the minimum lawful information Named authorized provider/HMIS stewards handle identity and the separate linkage key. Reviewers receive only the minimum approved dataset. Signed agreements must specify fields, purpose, authority/permission, access, encrypted transfers, logs, incident handling and the actual retention schedule. Legal/data owners approve before collection. The 2025 interdepartment LIFT agreement names the San Diego Fire-Rescue Department (SDFD) as lead and prohibits law-enforcement use of protected health information acquired under that agreement; it distinguishes independently discovered information. This bounded authority does not authorize this report’s evaluator or every HMIS record. Source: [DR01] , original pp. 1, 3–4; lead roles, access and law-enforcement restriction . Reading index Sources Methods / license</t>
        </is>
      </c>
      <c r="D82" t="inlineStr">
        <is>
          <t>[{"source_id": "DR01", "locator": "original pp. 1, 3–4; lead roles, access and law-enforcement restriction", "physical_pdf_pages": [1, 3, 4]}]</t>
        </is>
      </c>
    </row>
    <row r="83" ht="85.75" customHeight="1">
      <c r="A83" t="inlineStr">
        <is>
          <t>SECTION-privacy-review</t>
        </is>
      </c>
      <c r="B83" t="n">
        <v>82</v>
      </c>
      <c r="C83" t="inlineStr">
        <is>
          <t>C.2 · Proposed participant and data protections · continued Protect feedback and independent scrutiny. Retention and public release Audit Approve the actual records schedule before collection. The proposed evaluator linkage-key deletion point is 180 days after final required follow-up only where lawful; a preservation duty or legal hold overrides deletion. Restrict retained data to the approved purpose and access roles. Proposed public control: suppress cells below ten and complementary cells that reveal them; combine periods/categories and review repeated or overlapping releases for disclosure by subtraction. A cell threshold or de-identification alone does not establish anonymity. The 20-observation rate-trigger rule is a separate analytical choice. Ask people through accessible, voluntary routes Keep feedback separate from eligibility, service-team pressure and incentives for favorable answers. Include declines, inaccessible offers and interrupted contact where feasible. Ask: Were you listened to? Were choices and next steps understandable? Could you use the option? What barrier remained? Could you raise a concern safely? Publish invitations, responses, nonresponse, routes/languages offered and missing perspectives. Triangulate with independent observation/case review and complaint patterns. Name an independent recipient before launch The reviewer/complaint recipient must be independent of the team complained about. Publish the actual confidential contact, accessible telephone/in-person routes, backup and same-day serious-risk escalation process. Distinguish allegations from findings; record correction without exposing participants or ending help. Proposed participant-facing notice You can receive ordinary help whether or not you answer feedback or research questions. You do not have to give a favorable answer. Ask what happens next, who receives your information and how to raise a concern confidentially. Actual service/complaint contacts and approved data-use terms must accompany this notice. Before use: insert the actual provider help contact, independent complaint contact, accessible routes, hours and emergency backup. Participant-Notice-Template.txt supplies questions and required contact/access fields. No representative operation-level participant baseline or independent field observation was collected in this revision. A civilian role and humane treatment are separate commitments. Reading index Sources Methods / license</t>
        </is>
      </c>
      <c r="D83" t="inlineStr">
        <is>
          <t>[]</t>
        </is>
      </c>
    </row>
    <row r="84">
      <c r="A84" t="inlineStr">
        <is>
          <t>SECTION-gaps</t>
        </is>
      </c>
      <c r="B84" t="n">
        <v>83</v>
      </c>
      <c r="C84" t="inlineStr">
        <is>
          <t>Appendix D · Final readiness assessment The record supports a gated decision. CC These are final publication dispositions and proposed implementation conditions. The planning clocks apply only if Council adopts the proposal; they are not unfinished research assignments or actual City certifications. The original implementation forms remain in the evidence package. R01–R05 · Implementation-Register.csv / .json in Evidence.zip . ID / record Proposed policy owner / clock Final publication disposition R01 · Task-level roster, qualifications, sampled volume, paid time and retained police escalation; overtime code crosswalk. Police Chief · Adoption + 30 calendar days; cost bridge at + 60. No task-level paid-time bridge establishes a transferable Police saving. Civilian scope and retained safety duties are documented; readiness is not certified. R02 · Fund/appropriation, obligations, eligible balance, actual expenditure ending, effective date, first-year/recurring replacement and backfill bridge. CFO · Adoption + 60; certification before launch. No verified transferable Police balance or adopted new funding decision. Released capacity is not cash; the proposal authorizes no transfer. R03 · Dated personnel, provider/clinical, transport, sanitation and evaluation prices; staffing/coverage, supervision, access and administration scope. HSSD Director · Adoption + 60; refresh before award/launch. Illustrative comparison only: no current all-in quote, vendor saving, funded expansion or award recommendation is established. R04 · Planning-resource authorization; labor/classification, legal, contract and independent-review procurement sequence with feasible milestones. HSSD Director · Identify resources at adoption; inventory + 30; return + 60 even if incomplete. Proposed governance only: no planning appropriation, procurement, labor approval or completed independent-review procurement in 60 days is presumed. R05 · Existing humane-service obligations, feedback channels, monitoring/remedies, participant invitation coverage and documented gaps. HSSD Director · Inventory + 30; amendments and monitoring plan + 60. Contracts and selected oversight exist; representative participant experience, coverage and comparative service effects are not established. For R05, acquired contracts and oversight records establish existing obligations and selected monitoring. They do not establish representative participant experience, full compliance or a comparative civilian quality advantage. HHAP means Homeless Housing, Assistance, and Prevention; its finance records appear in R09. Historical evidence gaps, completed search routes and exact records still needed are separately recorded in Gap-Closure-Status.html , also supplied in Evidence.zip. The implementation conditions above remain prospective Council decisions. Reading index Sources Methods / license</t>
        </is>
      </c>
      <c r="D84" t="inlineStr">
        <is>
          <t>[]</t>
        </is>
      </c>
    </row>
    <row r="85">
      <c r="A85" t="inlineStr">
        <is>
          <t>SECTION-gaps-continued</t>
        </is>
      </c>
      <c r="B85" t="n">
        <v>84</v>
      </c>
      <c r="C85" t="inlineStr">
        <is>
          <t>D.2 · Final readiness assessment · continued Readiness is not established by a spending total. R06–R10 · final record dispositions; policy owners and clocks are proposed. ID / record Proposed policy owner / clock Final publication disposition R06 · Operation-to-private-service linkage feasibility, readiness certificate, metric definitions, accessible contact/complaint routes and independent risk-review recipient. HSSD Director · Feasibility + 30; costed design + 60; all permissions/protocols before collection/launch. Operation identifiers do not establish person-level housing outcomes. The report makes no private-service match or certified launch-readiness claim. R07 · CSIP person/referral accommodation crosswalk and verified admission/retention definitions, with missingness. HSSD Director · Proposed scope checkpoint + 30; readiness evidence + 60. The 60.2% figure is retained as a lower bound. Different source units prevent treating it as an observed unique denial rate. R08 · HCD period/cohort/stage reconciliation, grant-spending bridge and available follow-up; nonidentifying public response. HSSD Director as City liaison · Suggested HCD response within 60 days of receipt; not a statutory duty. The state counts describe different stages and cohorts. A retained-housing cost cannot be calculated from these unmatched denominators. R09 · HHAP obligation/payment/balance bridge for the $11,319,651 variance and the separate $2,332 HSSD table difference. CFO · Proposed Day 60 funding determination; no available cash assumed. The budget-to-actual difference and cross-table difference are documented. Neither is an unrestricted balance or a newly identified funding source. R10 · November crew/time and fleet records, version changes, approvals, AP posting, later adjustments and vendor explanation. ESD Director · Proposed Day 60 rate-and-work certification checkpoint. Native versions explain the printed arithmetic gap and AP identifies approved amounts. Labor and vehicle arithmetic do not establish an amount owed or misconduct. CFO FY2026 HHAP: $24,350,665 adopted versus $13,031,014 at year-end, a $11,319,651 difference. HSSD General Fund tables differ by $2,332. These are distinct accounting presentations, not an unrestricted balance. The separate $1.5 million contract-projection explanation does not reconcile HHAP. Source: [BK08] , original pp. 55–57 . Decision before Council: adopt the priced public return and service-verification requirements. Any transfer requires a separate lawful funding decision, all readiness gates and independent published certifications. Reading index Sources Methods / license</t>
        </is>
      </c>
      <c r="D85" t="inlineStr">
        <is>
          <t>[{"source_id": "BK08", "locator": "original pp. 55–57", "physical_pdf_pages": [55, 56, 57]}]</t>
        </is>
      </c>
    </row>
  </sheetData>
  <autoFilter ref="A1:D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5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00" customWidth="1" min="3" max="3"/>
    <col width="30" customWidth="1" min="4" max="4"/>
    <col width="110" customWidth="1" min="5" max="5"/>
  </cols>
  <sheetData>
    <row r="1" ht="30" customHeight="1">
      <c r="A1" t="inlineStr">
        <is>
          <t>Section ID</t>
        </is>
      </c>
      <c r="B1" t="inlineStr">
        <is>
          <t>Source ID</t>
        </is>
      </c>
      <c r="C1" t="inlineStr">
        <is>
          <t>Physical original pages</t>
        </is>
      </c>
      <c r="D1" t="inlineStr">
        <is>
          <t>Exact locator</t>
        </is>
      </c>
    </row>
    <row r="2" ht="30" customHeight="1">
      <c r="A2" t="inlineStr">
        <is>
          <t>SECTION-decision</t>
        </is>
      </c>
      <c r="B2" t="inlineStr">
        <is>
          <t>FPB02</t>
        </is>
      </c>
      <c r="C2" t="inlineStr">
        <is>
          <t>[1, 5, 7]</t>
        </is>
      </c>
      <c r="D2" t="inlineStr">
        <is>
          <t>original pp. 1, 5, 7; source thousands converted to dollars</t>
        </is>
      </c>
    </row>
    <row r="3" ht="39" customHeight="1">
      <c r="A3" t="inlineStr">
        <is>
          <t>SECTION-decision</t>
        </is>
      </c>
      <c r="B3" t="inlineStr">
        <is>
          <t>S01</t>
        </is>
      </c>
      <c r="C3" t="inlineStr">
        <is>
          <t>[44, 45]</t>
        </is>
      </c>
      <c r="D3" t="inlineStr">
        <is>
          <t>original pp. 44–45 / printed pp. 39–40</t>
        </is>
      </c>
    </row>
    <row r="4" ht="39" customHeight="1">
      <c r="A4" t="inlineStr">
        <is>
          <t>SECTION-decision</t>
        </is>
      </c>
      <c r="B4" t="inlineStr">
        <is>
          <t>S01</t>
        </is>
      </c>
      <c r="C4" t="inlineStr">
        <is>
          <t>[10, 42, 58]</t>
        </is>
      </c>
      <c r="D4" t="inlineStr">
        <is>
          <t>original pp. 10, 42, 58</t>
        </is>
      </c>
    </row>
    <row r="5" ht="30.5" customHeight="1">
      <c r="A5" t="inlineStr">
        <is>
          <t>SECTION-decision</t>
        </is>
      </c>
      <c r="B5" t="inlineStr">
        <is>
          <t>S03</t>
        </is>
      </c>
      <c r="C5" t="inlineStr">
        <is>
          <t>[61]</t>
        </is>
      </c>
      <c r="D5" t="inlineStr">
        <is>
          <t>original p. 61; HOT partnership</t>
        </is>
      </c>
    </row>
    <row r="6" ht="30" customHeight="1">
      <c r="A6" t="inlineStr">
        <is>
          <t>SECTION-council-findings</t>
        </is>
      </c>
      <c r="B6" t="inlineStr">
        <is>
          <t>SDHC-JUL9-2026-LANDING</t>
        </is>
      </c>
      <c r="C6" t="inlineStr">
        <is>
          <t>[1, 2]</t>
        </is>
      </c>
      <c r="D6" t="inlineStr">
        <is>
          <t>original pp. 1–2</t>
        </is>
      </c>
    </row>
    <row r="7" ht="30" customHeight="1">
      <c r="A7" t="inlineStr">
        <is>
          <t>SECTION-council-findings</t>
        </is>
      </c>
      <c r="B7" t="inlineStr">
        <is>
          <t>EXP-IBA25-09-SWIFT</t>
        </is>
      </c>
      <c r="C7" t="inlineStr">
        <is>
          <t>[2, 3, 4, 5]</t>
        </is>
      </c>
      <c r="D7" t="inlineStr">
        <is>
          <t>original pp. 2–5</t>
        </is>
      </c>
    </row>
    <row r="8" ht="30" customHeight="1">
      <c r="A8" t="inlineStr">
        <is>
          <t>SECTION-council-findings</t>
        </is>
      </c>
      <c r="B8" t="inlineStr">
        <is>
          <t>EXP-R316132-SWIFT</t>
        </is>
      </c>
      <c r="C8" t="inlineStr">
        <is>
          <t>[1, 4, 5]</t>
        </is>
      </c>
      <c r="D8" t="inlineStr">
        <is>
          <t>original pp. 1, 4–5</t>
        </is>
      </c>
    </row>
    <row r="9" ht="30" customHeight="1">
      <c r="A9" t="inlineStr">
        <is>
          <t>SECTION-council-findings</t>
        </is>
      </c>
      <c r="B9" t="inlineStr">
        <is>
          <t>CITY-FY25-CAPER</t>
        </is>
      </c>
      <c r="C9" t="inlineStr">
        <is>
          <t>[24]</t>
        </is>
      </c>
      <c r="D9" t="inlineStr">
        <is>
          <t>original p. 24</t>
        </is>
      </c>
    </row>
    <row r="10" ht="39" customHeight="1">
      <c r="A10" t="inlineStr">
        <is>
          <t>SECTION-council-findings</t>
        </is>
      </c>
      <c r="B10" t="inlineStr">
        <is>
          <t>NR53645063-M06</t>
        </is>
      </c>
      <c r="C10" t="inlineStr">
        <is>
          <t>[1, 2]</t>
        </is>
      </c>
      <c r="D10" t="inlineStr">
        <is>
          <t>original pp. 1–2</t>
        </is>
      </c>
    </row>
    <row r="11" ht="30" customHeight="1">
      <c r="A11" t="inlineStr">
        <is>
          <t>SECTION-council-findings</t>
        </is>
      </c>
      <c r="B11" t="inlineStr">
        <is>
          <t>EXP-IBA25-06-MIDYEAR</t>
        </is>
      </c>
      <c r="C11" t="inlineStr">
        <is>
          <t>[15]</t>
        </is>
      </c>
      <c r="D11" t="inlineStr">
        <is>
          <t>original p. 15</t>
        </is>
      </c>
    </row>
    <row r="12" ht="30" customHeight="1">
      <c r="A12" t="inlineStr">
        <is>
          <t>SECTION-council-findings</t>
        </is>
      </c>
      <c r="B12" t="inlineStr">
        <is>
          <t>CITY-FY26-CAPER</t>
        </is>
      </c>
      <c r="C12" t="inlineStr">
        <is>
          <t>[19]</t>
        </is>
      </c>
      <c r="D12" t="inlineStr">
        <is>
          <t>original p. 19</t>
        </is>
      </c>
    </row>
    <row r="13" ht="30" customHeight="1">
      <c r="A13" t="inlineStr">
        <is>
          <t>SECTION-council-findings</t>
        </is>
      </c>
      <c r="B13" t="inlineStr">
        <is>
          <t>EXP-CITY-FY26-MIDYEAR</t>
        </is>
      </c>
      <c r="C13" t="inlineStr">
        <is>
          <t>[81]</t>
        </is>
      </c>
      <c r="D13" t="inlineStr">
        <is>
          <t>original p. 81</t>
        </is>
      </c>
    </row>
    <row r="14" ht="30.5" customHeight="1">
      <c r="A14" t="inlineStr">
        <is>
          <t>SECTION-council-findings</t>
        </is>
      </c>
      <c r="B14" t="inlineStr">
        <is>
          <t>EXP-CITY-FY26-Q3</t>
        </is>
      </c>
      <c r="C14" t="inlineStr">
        <is>
          <t>[82]</t>
        </is>
      </c>
      <c r="D14" t="inlineStr">
        <is>
          <t>original p. 82</t>
        </is>
      </c>
    </row>
    <row r="15" ht="39" customHeight="1">
      <c r="A15" t="inlineStr">
        <is>
          <t>SECTION-capacity</t>
        </is>
      </c>
      <c r="B15" t="inlineStr">
        <is>
          <t>O46</t>
        </is>
      </c>
      <c r="C15" t="inlineStr">
        <is>
          <t>[3, 4]</t>
        </is>
      </c>
      <c r="D15" t="inlineStr">
        <is>
          <t>original pp. 3–4; May 8, 2026 minutes</t>
        </is>
      </c>
    </row>
    <row r="16" ht="39" customHeight="1">
      <c r="A16" t="inlineStr">
        <is>
          <t>SECTION-capacity</t>
        </is>
      </c>
      <c r="B16" t="inlineStr">
        <is>
          <t>BK08</t>
        </is>
      </c>
      <c r="C16" t="inlineStr">
        <is>
          <t>[54]</t>
        </is>
      </c>
      <c r="D16" t="inlineStr">
        <is>
          <t>September 30 homelessness memorandum, original p. 54</t>
        </is>
      </c>
    </row>
    <row r="17" ht="30" customHeight="1">
      <c r="A17" t="inlineStr">
        <is>
          <t>SECTION-capacity</t>
        </is>
      </c>
      <c r="B17" t="inlineStr">
        <is>
          <t>UCSD26S</t>
        </is>
      </c>
      <c r="C17" t="inlineStr">
        <is>
          <t>[4, 7, 20]</t>
        </is>
      </c>
      <c r="D17" t="inlineStr">
        <is>
          <t>original pp. 4, 7, 20 / printed pp. 1, 4, 17</t>
        </is>
      </c>
    </row>
    <row r="18" ht="30" customHeight="1">
      <c r="A18" t="inlineStr">
        <is>
          <t>SECTION-current-intake</t>
        </is>
      </c>
      <c r="B18" t="inlineStr">
        <is>
          <t>SDHC-CSIP-2026-08</t>
        </is>
      </c>
      <c r="C18" t="inlineStr">
        <is>
          <t>[1]</t>
        </is>
      </c>
      <c r="D18" t="inlineStr">
        <is>
          <t>original p. 1; August 31, 2026 update; July–August referral tables, reasons and occupancy footnotes</t>
        </is>
      </c>
    </row>
    <row r="19" ht="30" customHeight="1">
      <c r="A19" t="inlineStr">
        <is>
          <t>SECTION-current-intake</t>
        </is>
      </c>
      <c r="B19" t="inlineStr">
        <is>
          <t>DR20</t>
        </is>
      </c>
      <c r="C19" t="inlineStr">
        <is>
          <t>[1]</t>
        </is>
      </c>
      <c r="D19" t="inlineStr">
        <is>
          <t>physical p. 1; 2026/2025 counts and footnotes</t>
        </is>
      </c>
    </row>
    <row r="20" ht="30" customHeight="1">
      <c r="A20" t="inlineStr">
        <is>
          <t>SECTION-definitions</t>
        </is>
      </c>
      <c r="B20" t="inlineStr">
        <is>
          <t>UCSD26S</t>
        </is>
      </c>
      <c r="C20" t="inlineStr">
        <is>
          <t>[1, 20, 21]</t>
        </is>
      </c>
      <c r="D20" t="inlineStr">
        <is>
          <t>original pp. 1, 20–21 / printed pp. 17–18; Figure 15</t>
        </is>
      </c>
    </row>
    <row r="21" ht="30" customHeight="1">
      <c r="A21" t="inlineStr">
        <is>
          <t>SECTION-definitions</t>
        </is>
      </c>
      <c r="B21" t="inlineStr">
        <is>
          <t>UCSD26S</t>
        </is>
      </c>
      <c r="C21" t="inlineStr">
        <is>
          <t>[1, 20, 21]</t>
        </is>
      </c>
      <c r="D21" t="inlineStr">
        <is>
          <t>original pp. 1, 20–21 / printed pp. 17–18; Figure 15</t>
        </is>
      </c>
    </row>
    <row r="22" ht="30" customHeight="1">
      <c r="A22" t="inlineStr">
        <is>
          <t>SECTION-definitions</t>
        </is>
      </c>
      <c r="B22" t="inlineStr">
        <is>
          <t>UCSD26S</t>
        </is>
      </c>
      <c r="C22" t="inlineStr">
        <is>
          <t>[6, 7, 25]</t>
        </is>
      </c>
      <c r="D22" t="inlineStr">
        <is>
          <t>original pp. 6–7, 25 / printed pp. 3–4, 22</t>
        </is>
      </c>
    </row>
    <row r="23" ht="30" customHeight="1">
      <c r="A23" t="inlineStr">
        <is>
          <t>SECTION-outcome-rules</t>
        </is>
      </c>
      <c r="B23" t="inlineStr">
        <is>
          <t>ADC03</t>
        </is>
      </c>
      <c r="C23" t="inlineStr">
        <is>
          <t>[1, 28, 29, 30]</t>
        </is>
      </c>
      <c r="D23" t="inlineStr">
        <is>
          <t>original p. 1 project roster; pp. 28–30 outcome tables</t>
        </is>
      </c>
    </row>
    <row r="24" ht="31.75" customHeight="1">
      <c r="A24" t="inlineStr">
        <is>
          <t>SECTION-newer-outcomes</t>
        </is>
      </c>
      <c r="B24" t="inlineStr">
        <is>
          <t>DR07</t>
        </is>
      </c>
      <c r="C24" t="inlineStr">
        <is>
          <t>[3, 4, 5, 15]</t>
        </is>
      </c>
      <c r="D24" t="inlineStr">
        <is>
          <t>original pp. 3–5, 15; federal fiscal years October–September</t>
        </is>
      </c>
    </row>
    <row r="25" ht="31.75" customHeight="1">
      <c r="A25" t="inlineStr">
        <is>
          <t>SECTION-newer-outcomes</t>
        </is>
      </c>
      <c r="B25" t="inlineStr">
        <is>
          <t>DR05</t>
        </is>
      </c>
      <c r="C25" t="inlineStr">
        <is>
          <t>[1, 2, 42]</t>
        </is>
      </c>
      <c r="D25" t="inlineStr">
        <is>
          <t>original pp. 1–2, 42</t>
        </is>
      </c>
    </row>
    <row r="26" ht="30" customHeight="1">
      <c r="A26" t="inlineStr">
        <is>
          <t>SECTION-newer-outcomes</t>
        </is>
      </c>
      <c r="B26" t="inlineStr">
        <is>
          <t>DR06</t>
        </is>
      </c>
      <c r="C26" t="inlineStr">
        <is>
          <t>[1, 2, 3, 4, 54, 55, 56]</t>
        </is>
      </c>
      <c r="D26" t="inlineStr">
        <is>
          <t>original pp. 1–4, 54–56</t>
        </is>
      </c>
    </row>
    <row r="27" ht="47.75" customHeight="1">
      <c r="A27" t="inlineStr">
        <is>
          <t>SECTION-newer-outcomes</t>
        </is>
      </c>
      <c r="B27" t="inlineStr">
        <is>
          <t>DR19</t>
        </is>
      </c>
      <c r="C27" t="inlineStr">
        <is>
          <t>[1, 2]</t>
        </is>
      </c>
      <c r="D27" t="inlineStr">
        <is>
          <t>physical pp. 1–2; printed report pp. 2 and 41 of 67</t>
        </is>
      </c>
    </row>
    <row r="28" ht="30" customHeight="1">
      <c r="A28" t="inlineStr">
        <is>
          <t>SECTION-state-system-data</t>
        </is>
      </c>
      <c r="B28" t="inlineStr">
        <is>
          <t>DR15</t>
        </is>
      </c>
      <c r="C28" t="inlineStr">
        <is>
          <t>[]</t>
        </is>
      </c>
      <c r="D28" t="inlineStr">
        <is>
          <t>Location = CA-601 San Diego City &amp; County CoC; M3–M6; CY2024 and CY2025 columns</t>
        </is>
      </c>
    </row>
    <row r="29" ht="30" customHeight="1">
      <c r="A29" t="inlineStr">
        <is>
          <t>SECTION-state-system-data</t>
        </is>
      </c>
      <c r="B29" t="inlineStr">
        <is>
          <t>DR17</t>
        </is>
      </c>
      <c r="C29" t="inlineStr">
        <is>
          <t>[12, 13, 18]</t>
        </is>
      </c>
      <c r="D29" t="inlineStr">
        <is>
          <t>original pp. 12–13, 18; M5 and exact CY2025 exit cohort</t>
        </is>
      </c>
    </row>
    <row r="30" ht="30" customHeight="1">
      <c r="A30" t="inlineStr">
        <is>
          <t>SECTION-state-system-data</t>
        </is>
      </c>
      <c r="B30" t="inlineStr">
        <is>
          <t>DR16</t>
        </is>
      </c>
      <c r="C30" t="inlineStr">
        <is>
          <t>[]</t>
        </is>
      </c>
      <c r="D30" t="inlineStr">
        <is>
          <t>Metric definitions and calendar-year columns</t>
        </is>
      </c>
    </row>
    <row r="31" ht="30" customHeight="1">
      <c r="A31" t="inlineStr">
        <is>
          <t>SECTION-state-system-data</t>
        </is>
      </c>
      <c r="B31" t="inlineStr">
        <is>
          <t>DR17</t>
        </is>
      </c>
      <c r="C31" t="inlineStr">
        <is>
          <t>[3, 7, 10, 11, 13, 14, 16]</t>
        </is>
      </c>
      <c r="D31" t="inlineStr">
        <is>
          <t>original pp. 3, 7, 10–11, 13–14, 16; coverage and M3/M4/M6 definitions</t>
        </is>
      </c>
    </row>
    <row r="32" ht="30" customHeight="1">
      <c r="A32" t="inlineStr">
        <is>
          <t>SECTION-state-system-data</t>
        </is>
      </c>
      <c r="B32" t="inlineStr">
        <is>
          <t>EXP-HHAP3-FINAL-GOALS</t>
        </is>
      </c>
      <c r="C32" t="inlineStr">
        <is>
          <t>[2]</t>
        </is>
      </c>
      <c r="D32" t="inlineStr">
        <is>
          <t>original p. 2; final regional target</t>
        </is>
      </c>
    </row>
    <row r="33" ht="30" customHeight="1">
      <c r="A33" t="inlineStr">
        <is>
          <t>SECTION-state-system-data</t>
        </is>
      </c>
      <c r="B33" t="inlineStr">
        <is>
          <t>DR15</t>
        </is>
      </c>
      <c r="C33" t="inlineStr">
        <is>
          <t>[]</t>
        </is>
      </c>
      <c r="D33" t="inlineStr">
        <is>
          <t>Location=CA-601 San Diego City &amp; County CoC; Metric=M1b; 2020/2024/2025 columns</t>
        </is>
      </c>
    </row>
    <row r="34" ht="30" customHeight="1">
      <c r="A34" t="inlineStr">
        <is>
          <t>SECTION-state-system-data</t>
        </is>
      </c>
      <c r="B34" t="inlineStr">
        <is>
          <t>DR17</t>
        </is>
      </c>
      <c r="C34" t="inlineStr">
        <is>
          <t>[3, 4]</t>
        </is>
      </c>
      <c r="D34" t="inlineStr">
        <is>
          <t>original pp. 3–4; measure definitions</t>
        </is>
      </c>
    </row>
    <row r="35" ht="30" customHeight="1">
      <c r="A35" t="inlineStr">
        <is>
          <t>SECTION-deep-apr-lineage</t>
        </is>
      </c>
      <c r="B35" t="inlineStr">
        <is>
          <t>NR57670541</t>
        </is>
      </c>
      <c r="C35" t="inlineStr">
        <is>
          <t>[1]</t>
        </is>
      </c>
      <c r="D35" t="inlineStr">
        <is>
          <t>original p. 1; period, filter and project IDs 1221/1514</t>
        </is>
      </c>
    </row>
    <row r="36" ht="30" customHeight="1">
      <c r="A36" t="inlineStr">
        <is>
          <t>SECTION-deep-apr-lineage</t>
        </is>
      </c>
      <c r="B36" t="inlineStr">
        <is>
          <t>NR57670542</t>
        </is>
      </c>
      <c r="C36" t="inlineStr">
        <is>
          <t>[1]</t>
        </is>
      </c>
      <c r="D36" t="inlineStr">
        <is>
          <t>original p. 1; IDs 1259/1260</t>
        </is>
      </c>
    </row>
    <row r="37" ht="30" customHeight="1">
      <c r="A37" t="inlineStr">
        <is>
          <t>SECTION-deep-apr-lineage</t>
        </is>
      </c>
      <c r="B37" t="inlineStr">
        <is>
          <t>NR57670544</t>
        </is>
      </c>
      <c r="C37" t="inlineStr">
        <is>
          <t>[1]</t>
        </is>
      </c>
      <c r="D37" t="inlineStr">
        <is>
          <t>original p. 1; IDs 1258/1477</t>
        </is>
      </c>
    </row>
    <row r="38" ht="30" customHeight="1">
      <c r="A38" t="inlineStr">
        <is>
          <t>SECTION-deep-apr-lineage</t>
        </is>
      </c>
      <c r="B38" t="inlineStr">
        <is>
          <t>DR05</t>
        </is>
      </c>
      <c r="C38" t="inlineStr">
        <is>
          <t>[1]</t>
        </is>
      </c>
      <c r="D38" t="inlineStr">
        <is>
          <t>original p. 1; same six Q4 project IDs and filter</t>
        </is>
      </c>
    </row>
    <row r="39" ht="30" customHeight="1">
      <c r="A39" t="inlineStr">
        <is>
          <t>SECTION-deep-apr-lineage</t>
        </is>
      </c>
      <c r="B39" t="inlineStr">
        <is>
          <t>BITFOCUS-APR-PARAMETERS</t>
        </is>
      </c>
      <c r="C39" t="inlineStr">
        <is>
          <t>[]</t>
        </is>
      </c>
      <c r="D39" t="inlineStr">
        <is>
          <t>Enrollment CoC Filter parameter and household/project-entry selection</t>
        </is>
      </c>
    </row>
    <row r="40" ht="30" customHeight="1">
      <c r="A40" t="inlineStr">
        <is>
          <t>SECTION-deep-apr-lineage</t>
        </is>
      </c>
      <c r="B40" t="inlineStr">
        <is>
          <t>NR57670456</t>
        </is>
      </c>
      <c r="C40" t="inlineStr">
        <is>
          <t>[1]</t>
        </is>
      </c>
      <c r="D40" t="inlineStr">
        <is>
          <t>original p. 1; Mission Valley project 572</t>
        </is>
      </c>
    </row>
    <row r="41" ht="30" customHeight="1">
      <c r="A41" t="inlineStr">
        <is>
          <t>SECTION-deep-apr-lineage</t>
        </is>
      </c>
      <c r="B41" t="inlineStr">
        <is>
          <t>DR06</t>
        </is>
      </c>
      <c r="C41" t="inlineStr">
        <is>
          <t>[1, 2]</t>
        </is>
      </c>
      <c r="D41" t="inlineStr">
        <is>
          <t>original pp. 1–2; full Q4 roster</t>
        </is>
      </c>
    </row>
    <row r="42" ht="30" customHeight="1">
      <c r="A42" t="inlineStr">
        <is>
          <t>SECTION-deep-additional-outcomes</t>
        </is>
      </c>
      <c r="B42" t="inlineStr">
        <is>
          <t>CITY-FY25-CAPER</t>
        </is>
      </c>
      <c r="C42" t="inlineStr">
        <is>
          <t>[23, 24]</t>
        </is>
      </c>
      <c r="D42" t="inlineStr">
        <is>
          <t>original pp. 23–24; family shelter, targets, results and barriers</t>
        </is>
      </c>
    </row>
    <row r="43" ht="30" customHeight="1">
      <c r="A43" t="inlineStr">
        <is>
          <t>SECTION-deep-additional-outcomes</t>
        </is>
      </c>
      <c r="B43" t="inlineStr">
        <is>
          <t>CITY-FY26-CAPER</t>
        </is>
      </c>
      <c r="C43" t="inlineStr">
        <is>
          <t>[19]</t>
        </is>
      </c>
      <c r="D43" t="inlineStr">
        <is>
          <t>original p. 19; family shelter annual results and contracted household goal</t>
        </is>
      </c>
    </row>
    <row r="44" ht="30" customHeight="1">
      <c r="A44" t="inlineStr">
        <is>
          <t>SECTION-deep-additional-outcomes</t>
        </is>
      </c>
      <c r="B44" t="inlineStr">
        <is>
          <t>NR53645063-M50</t>
        </is>
      </c>
      <c r="C44" t="inlineStr">
        <is>
          <t>[1, 4, 19, 21]</t>
        </is>
      </c>
      <c r="D44" t="inlineStr">
        <is>
          <t>member original pp. 19, 21; same site and original capacity</t>
        </is>
      </c>
    </row>
    <row r="45" ht="30" customHeight="1">
      <c r="A45" t="inlineStr">
        <is>
          <t>SECTION-deep-additional-outcomes</t>
        </is>
      </c>
      <c r="B45" t="inlineStr">
        <is>
          <t>NR53645063-M52</t>
        </is>
      </c>
      <c r="C45" t="inlineStr">
        <is>
          <t>[1, 3, 11]</t>
        </is>
      </c>
      <c r="D45" t="inlineStr">
        <is>
          <t>member original pp. 1, 3, 11; FY2025 option, signatures and targets</t>
        </is>
      </c>
    </row>
    <row r="46" ht="30" customHeight="1">
      <c r="A46" t="inlineStr">
        <is>
          <t>SECTION-deep-additional-outcomes</t>
        </is>
      </c>
      <c r="B46" t="inlineStr">
        <is>
          <t>NR53645063-M62</t>
        </is>
      </c>
      <c r="C46" t="inlineStr">
        <is>
          <t>[1, 4, 19, 20, 22, 38, 39]</t>
        </is>
      </c>
      <c r="D46" t="inlineStr">
        <is>
          <t>member original pp. 1, 4, 19–20, 22, 38–39; FY2026 term, site, targets, capacity and outcome terms</t>
        </is>
      </c>
    </row>
    <row r="47" ht="30" customHeight="1">
      <c r="A47" t="inlineStr">
        <is>
          <t>SECTION-deep-additional-outcomes</t>
        </is>
      </c>
      <c r="B47" t="inlineStr">
        <is>
          <t>SDHC-SHELTER-DASHBOARD-2026-08</t>
        </is>
      </c>
      <c r="C47" t="inlineStr">
        <is>
          <t>[]</t>
        </is>
      </c>
      <c r="D47" t="inlineStr">
        <is>
          <t>original static Shelter dashboard image; FY2027 through August 31, 2026; destination chart and deduplication footnote</t>
        </is>
      </c>
    </row>
    <row r="48" ht="30" customHeight="1">
      <c r="A48" t="inlineStr">
        <is>
          <t>SECTION-deep-additional-outcomes</t>
        </is>
      </c>
      <c r="B48" t="inlineStr">
        <is>
          <t>SDHC-DASHBOARD-WELCOME-2026-08</t>
        </is>
      </c>
      <c r="C48" t="inlineStr">
        <is>
          <t>[]</t>
        </is>
      </c>
      <c r="D48" t="inlineStr">
        <is>
          <t>original Welcome dashboard image; data current August 31, 2026</t>
        </is>
      </c>
    </row>
    <row r="49" ht="30" customHeight="1">
      <c r="A49" t="inlineStr">
        <is>
          <t>SECTION-deep-access</t>
        </is>
      </c>
      <c r="B49" t="inlineStr">
        <is>
          <t>SDHC-2025-06-20</t>
        </is>
      </c>
      <c r="C49" t="inlineStr">
        <is>
          <t>[1, 2]</t>
        </is>
      </c>
      <c r="D49" t="inlineStr">
        <is>
          <t>original pp. 1–2; May/YTD counts, pause and referral exception</t>
        </is>
      </c>
    </row>
    <row r="50" ht="30" customHeight="1">
      <c r="A50" t="inlineStr">
        <is>
          <t>SECTION-deep-access</t>
        </is>
      </c>
      <c r="B50" t="inlineStr">
        <is>
          <t>SDHC-2025-07-18</t>
        </is>
      </c>
      <c r="C50" t="inlineStr">
        <is>
          <t>[3]</t>
        </is>
      </c>
      <c r="D50" t="inlineStr">
        <is>
          <t>original p. 3; June/FY counts, intake resumption and alternatives</t>
        </is>
      </c>
    </row>
    <row r="51" ht="30" customHeight="1">
      <c r="A51" t="inlineStr">
        <is>
          <t>SECTION-deep-access</t>
        </is>
      </c>
      <c r="B51" t="inlineStr">
        <is>
          <t>NR57670753</t>
        </is>
      </c>
      <c r="C51" t="inlineStr">
        <is>
          <t>[1, 3]</t>
        </is>
      </c>
      <c r="D51" t="inlineStr">
        <is>
          <t>original pp. 1, 3; FY2025 draft table and repair narratives</t>
        </is>
      </c>
    </row>
    <row r="52" ht="30" customHeight="1">
      <c r="A52" t="inlineStr">
        <is>
          <t>SECTION-deep-access</t>
        </is>
      </c>
      <c r="B52" t="inlineStr">
        <is>
          <t>NR57670754</t>
        </is>
      </c>
      <c r="C52" t="inlineStr">
        <is>
          <t>[1]</t>
        </is>
      </c>
      <c r="D52" t="inlineStr">
        <is>
          <t>original p. 1; FY2026 draft through October</t>
        </is>
      </c>
    </row>
    <row r="53" ht="30" customHeight="1">
      <c r="A53" t="inlineStr">
        <is>
          <t>SECTION-deep-notable-central</t>
        </is>
      </c>
      <c r="B53" t="inlineStr">
        <is>
          <t>SDHC-CENTRAL-PARKING-HCR25-069</t>
        </is>
      </c>
      <c r="C53" t="inlineStr">
        <is>
          <t>[1, 3, 5, 6]</t>
        </is>
      </c>
      <c r="D53" t="inlineStr">
        <is>
          <t>original pp. 1, 3, 5–6; term, procurement route and funding</t>
        </is>
      </c>
    </row>
    <row r="54" ht="30" customHeight="1">
      <c r="A54" t="inlineStr">
        <is>
          <t>SECTION-deep-notable-central</t>
        </is>
      </c>
      <c r="B54" t="inlineStr">
        <is>
          <t>SDHC-NOV7-2025-MINUTES</t>
        </is>
      </c>
      <c r="C54" t="inlineStr">
        <is>
          <t>[3, 4]</t>
        </is>
      </c>
      <c r="D54" t="inlineStr">
        <is>
          <t>original pp. 3–4; item 102 approval and funding substitution</t>
        </is>
      </c>
    </row>
    <row r="55" ht="30" customHeight="1">
      <c r="A55" t="inlineStr">
        <is>
          <t>SECTION-deep-notable-central</t>
        </is>
      </c>
      <c r="B55" t="inlineStr">
        <is>
          <t>IBA-26-11</t>
        </is>
      </c>
      <c r="C55" t="inlineStr">
        <is>
          <t>[205]</t>
        </is>
      </c>
      <c r="D55" t="inlineStr">
        <is>
          <t>original p. 205 / printed p. 201; occupancy, funding and continuation</t>
        </is>
      </c>
    </row>
    <row r="56" ht="45.25" customHeight="1">
      <c r="A56" t="inlineStr">
        <is>
          <t>SECTION-deep-notable-central</t>
        </is>
      </c>
      <c r="B56" t="inlineStr">
        <is>
          <t>CITY-FY27-SHELTER-ANNOUNCEMENT</t>
        </is>
      </c>
      <c r="C56" t="inlineStr">
        <is>
          <t>[]</t>
        </is>
      </c>
      <c r="D56" t="inlineStr">
        <is>
          <t>June 16, 2026; adopted budget and Central/Aero closures</t>
        </is>
      </c>
    </row>
    <row r="57" ht="30" customHeight="1">
      <c r="A57" t="inlineStr">
        <is>
          <t>SECTION-deep-notable-central</t>
        </is>
      </c>
      <c r="B57" t="inlineStr">
        <is>
          <t>CITY-SAFE-PARKING-CURRENT</t>
        </is>
      </c>
      <c r="C57" t="inlineStr">
        <is>
          <t>[]</t>
        </is>
      </c>
      <c r="D57" t="inlineStr">
        <is>
          <t>updated October 15, 2026; remaining locations</t>
        </is>
      </c>
    </row>
    <row r="58" ht="38.75" customHeight="1">
      <c r="A58" t="inlineStr">
        <is>
          <t>SECTION-deep-notable-selection</t>
        </is>
      </c>
      <c r="B58" t="inlineStr">
        <is>
          <t>NR55803124</t>
        </is>
      </c>
      <c r="C58" t="inlineStr">
        <is>
          <t>[1, 2]</t>
        </is>
      </c>
      <c r="D58" t="inlineStr">
        <is>
          <t>original pp. 1–2; October 9, 2025 provider letter</t>
        </is>
      </c>
    </row>
    <row r="59" ht="30" customHeight="1">
      <c r="A59" t="inlineStr">
        <is>
          <t>SECTION-deep-notable-selection</t>
        </is>
      </c>
      <c r="B59" t="inlineStr">
        <is>
          <t>SDHC-CENTRAL-PARKING-HCR25-069</t>
        </is>
      </c>
      <c r="C59" t="inlineStr">
        <is>
          <t>[1, 3]</t>
        </is>
      </c>
      <c r="D59" t="inlineStr">
        <is>
          <t>original pp. 1, 3; cited route and timing</t>
        </is>
      </c>
    </row>
    <row r="60" ht="30" customHeight="1">
      <c r="A60" t="inlineStr">
        <is>
          <t>SECTION-deep-notable-selection</t>
        </is>
      </c>
      <c r="B60" t="inlineStr">
        <is>
          <t>IBA-24-04</t>
        </is>
      </c>
      <c r="C60" t="inlineStr">
        <is>
          <t>[17]</t>
        </is>
      </c>
      <c r="D60" t="inlineStr">
        <is>
          <t>original p. 17; earlier anticipated opening</t>
        </is>
      </c>
    </row>
    <row r="61" ht="30" customHeight="1">
      <c r="A61" t="inlineStr">
        <is>
          <t>SECTION-deep-notable-selection</t>
        </is>
      </c>
      <c r="B61" t="inlineStr">
        <is>
          <t>SDHC-PROCUREMENT-2024</t>
        </is>
      </c>
      <c r="C61" t="inlineStr">
        <is>
          <t>[29, 30]</t>
        </is>
      </c>
      <c r="D61" t="inlineStr">
        <is>
          <t>original pp. 29–30; §9.1 and its conditions</t>
        </is>
      </c>
    </row>
    <row r="62" ht="30" customHeight="1">
      <c r="A62" t="inlineStr">
        <is>
          <t>SECTION-deep-notable-selection</t>
        </is>
      </c>
      <c r="B62" t="inlineStr">
        <is>
          <t>SDHC-CENTRAL-PARKING-HCR25-069</t>
        </is>
      </c>
      <c r="C62" t="inlineStr">
        <is>
          <t>[5, 6]</t>
        </is>
      </c>
      <c r="D62" t="inlineStr">
        <is>
          <t>original pp. 5–6; funding and environmental statement</t>
        </is>
      </c>
    </row>
    <row r="63" ht="30" customHeight="1">
      <c r="A63" t="inlineStr">
        <is>
          <t>SECTION-deep-notable-selection</t>
        </is>
      </c>
      <c r="B63" t="inlineStr">
        <is>
          <t>SDHC-GRANT-HCR26-025</t>
        </is>
      </c>
      <c r="C63" t="inlineStr">
        <is>
          <t>[6, 7, 8]</t>
        </is>
      </c>
      <c r="D63" t="inlineStr">
        <is>
          <t>original pp. 6–8; Table 4 row 22 on p. 8</t>
        </is>
      </c>
    </row>
    <row r="64" ht="30" customHeight="1">
      <c r="A64" t="inlineStr">
        <is>
          <t>SECTION-deep-notable-selection</t>
        </is>
      </c>
      <c r="B64" t="inlineStr">
        <is>
          <t>SDHC-NOV7-2025-MINUTES</t>
        </is>
      </c>
      <c r="C64" t="inlineStr">
        <is>
          <t>[4]</t>
        </is>
      </c>
      <c r="D64" t="inlineStr">
        <is>
          <t>original p. 4; substitution authority</t>
        </is>
      </c>
    </row>
    <row r="65" ht="39" customHeight="1">
      <c r="A65" t="inlineStr">
        <is>
          <t>SECTION-deep-outcomes</t>
        </is>
      </c>
      <c r="B65" t="inlineStr">
        <is>
          <t>DFC-2025-REPORT</t>
        </is>
      </c>
      <c r="C65" t="inlineStr">
        <is>
          <t>[1, 8]</t>
        </is>
      </c>
      <c r="D65" t="inlineStr">
        <is>
          <t>original pp. 1, 8; title, destination table and stated broader success measure</t>
        </is>
      </c>
    </row>
    <row r="66" ht="39" customHeight="1">
      <c r="A66" t="inlineStr">
        <is>
          <t>SECTION-deep-outcomes</t>
        </is>
      </c>
      <c r="B66" t="inlineStr">
        <is>
          <t>NR60870769</t>
        </is>
      </c>
      <c r="C66" t="inlineStr">
        <is>
          <t>[1, 2, 3, 4, 5, 6, 7, 8, 9, 10, 11, 12, 13, 14, 15, 16, 17, 18, 19, 20, 21, 22, 23, 24, 25]</t>
        </is>
      </c>
      <c r="D66" t="inlineStr">
        <is>
          <t>original pp. 1–6; report correspondence; pp. 7–25 blacked out</t>
        </is>
      </c>
    </row>
    <row r="67" ht="39" customHeight="1">
      <c r="A67" t="inlineStr">
        <is>
          <t>SECTION-deep-outcomes</t>
        </is>
      </c>
      <c r="B67" t="inlineStr">
        <is>
          <t>REQ25-9337JSON</t>
        </is>
      </c>
      <c r="C67" t="inlineStr">
        <is>
          <t>[]</t>
        </is>
      </c>
      <c r="D67" t="inlineStr">
        <is>
          <t>request text; comprehensive report and correspondence</t>
        </is>
      </c>
    </row>
    <row r="68" ht="39" customHeight="1">
      <c r="A68" t="inlineStr">
        <is>
          <t>SECTION-deep-outcomes</t>
        </is>
      </c>
      <c r="B68" t="inlineStr">
        <is>
          <t>REQ25-9337TIMELINE</t>
        </is>
      </c>
      <c r="C68" t="inlineStr">
        <is>
          <t>[]</t>
        </is>
      </c>
      <c r="D68" t="inlineStr">
        <is>
          <t>March 18, 2026 closure; event 102368366; asserted draft exemption</t>
        </is>
      </c>
    </row>
    <row r="69" ht="45.5" customHeight="1">
      <c r="A69" t="inlineStr">
        <is>
          <t>SECTION-deep-frp</t>
        </is>
      </c>
      <c r="B69" t="inlineStr">
        <is>
          <t>NR35389136</t>
        </is>
      </c>
      <c r="C69" t="inlineStr">
        <is>
          <t>[3, 5, 14, 15, 37]</t>
        </is>
      </c>
      <c r="D69" t="inlineStr">
        <is>
          <t>original pp. 3, 5, 14–15, 37; signatures, target and performance terms</t>
        </is>
      </c>
    </row>
    <row r="70" ht="47.75" customHeight="1">
      <c r="A70" t="inlineStr">
        <is>
          <t>SECTION-deep-frp</t>
        </is>
      </c>
      <c r="B70" t="inlineStr">
        <is>
          <t>DSDP-FY24</t>
        </is>
      </c>
      <c r="C70" t="inlineStr">
        <is>
          <t>[6, 11]</t>
        </is>
      </c>
      <c r="D70" t="inlineStr">
        <is>
          <t>original pp. 6, 11; individuals, households and July–June total</t>
        </is>
      </c>
    </row>
    <row r="71" ht="30" customHeight="1">
      <c r="A71" t="inlineStr">
        <is>
          <t>SECTION-deep-frp</t>
        </is>
      </c>
      <c r="B71" t="inlineStr">
        <is>
          <t>CITY-FRP-FY24</t>
        </is>
      </c>
      <c r="C71" t="inlineStr">
        <is>
          <t>[]</t>
        </is>
      </c>
      <c r="D71" t="inlineStr">
        <is>
          <t>September 13, 2024; final two substantive paragraphs</t>
        </is>
      </c>
    </row>
    <row r="72" ht="30" customHeight="1">
      <c r="A72" t="inlineStr">
        <is>
          <t>SECTION-deep-frp</t>
        </is>
      </c>
      <c r="B72" t="inlineStr">
        <is>
          <t>NR35389136</t>
        </is>
      </c>
      <c r="C72" t="inlineStr">
        <is>
          <t>[6]</t>
        </is>
      </c>
      <c r="D72" t="inlineStr">
        <is>
          <t>original p. 6; quarterly participant-satisfaction reporting</t>
        </is>
      </c>
    </row>
    <row r="73" ht="39" customHeight="1">
      <c r="A73" t="inlineStr">
        <is>
          <t>SECTION-deep-frp</t>
        </is>
      </c>
      <c r="B73" t="inlineStr">
        <is>
          <t>DSDP-SURVEY</t>
        </is>
      </c>
      <c r="C73" t="inlineStr">
        <is>
          <t>[16]</t>
        </is>
      </c>
      <c r="D73" t="inlineStr">
        <is>
          <t>original p. 16; public participant feedback</t>
        </is>
      </c>
    </row>
    <row r="74" ht="30" customHeight="1">
      <c r="A74" t="inlineStr">
        <is>
          <t>SECTION-deep-frp</t>
        </is>
      </c>
      <c r="B74" t="inlineStr">
        <is>
          <t>DSDP-FOLLOWUP</t>
        </is>
      </c>
      <c r="C74" t="inlineStr">
        <is>
          <t>[7, 9]</t>
        </is>
      </c>
      <c r="D74" t="inlineStr">
        <is>
          <t>original pp. 7, 9; six-month follow-up discussion</t>
        </is>
      </c>
    </row>
    <row r="75" ht="30" customHeight="1">
      <c r="A75" t="inlineStr">
        <is>
          <t>SECTION-humane</t>
        </is>
      </c>
      <c r="B75" t="inlineStr">
        <is>
          <t>HC02</t>
        </is>
      </c>
      <c r="C75" t="inlineStr">
        <is>
          <t>[]</t>
        </is>
      </c>
      <c r="D75" t="inlineStr">
        <is>
          <t>Part III – Challenges C70:F70; calendar 2025 narrative</t>
        </is>
      </c>
    </row>
    <row r="76" ht="30" customHeight="1">
      <c r="A76" t="inlineStr">
        <is>
          <t>SECTION-existing-obligations</t>
        </is>
      </c>
      <c r="B76" t="inlineStr">
        <is>
          <t>DR02</t>
        </is>
      </c>
      <c r="C76" t="inlineStr">
        <is>
          <t>[11, 12, 13, 14, 17, 18, 19]</t>
        </is>
      </c>
      <c r="D76" t="inlineStr">
        <is>
          <t>original pp. 11–14, 17–19</t>
        </is>
      </c>
    </row>
    <row r="77" ht="30" customHeight="1">
      <c r="A77" t="inlineStr">
        <is>
          <t>SECTION-existing-obligations</t>
        </is>
      </c>
      <c r="B77" t="inlineStr">
        <is>
          <t>DR03</t>
        </is>
      </c>
      <c r="C77" t="inlineStr">
        <is>
          <t>[12, 13, 14, 17, 18]</t>
        </is>
      </c>
      <c r="D77" t="inlineStr">
        <is>
          <t>original pp. 12–14, 17–18</t>
        </is>
      </c>
    </row>
    <row r="78" ht="30.25" customHeight="1">
      <c r="A78" t="inlineStr">
        <is>
          <t>SECTION-existing-obligations</t>
        </is>
      </c>
      <c r="B78" t="inlineStr">
        <is>
          <t>DR04</t>
        </is>
      </c>
      <c r="C78" t="inlineStr">
        <is>
          <t>[22, 23, 24]</t>
        </is>
      </c>
      <c r="D78" t="inlineStr">
        <is>
          <t>original pp. 22–24</t>
        </is>
      </c>
    </row>
    <row r="79" ht="30.25" customHeight="1">
      <c r="A79" t="inlineStr">
        <is>
          <t>SECTION-existing-obligations</t>
        </is>
      </c>
      <c r="B79" t="inlineStr">
        <is>
          <t>DR11</t>
        </is>
      </c>
      <c r="C79" t="inlineStr">
        <is>
          <t>[2, 3, 4, 5]</t>
        </is>
      </c>
      <c r="D79" t="inlineStr">
        <is>
          <t>original pp. 2–5; term and reporting responsibilities</t>
        </is>
      </c>
    </row>
    <row r="80" ht="30.25" customHeight="1">
      <c r="A80" t="inlineStr">
        <is>
          <t>SECTION-existing-obligations</t>
        </is>
      </c>
      <c r="B80" t="inlineStr">
        <is>
          <t>DR10</t>
        </is>
      </c>
      <c r="C80" t="inlineStr">
        <is>
          <t>[14]</t>
        </is>
      </c>
      <c r="D80" t="inlineStr">
        <is>
          <t>original p. 14; June 9 correspondence and provider reply</t>
        </is>
      </c>
    </row>
    <row r="81" ht="39" customHeight="1">
      <c r="A81" t="inlineStr">
        <is>
          <t>SECTION-existing-obligations</t>
        </is>
      </c>
      <c r="B81" t="inlineStr">
        <is>
          <t>DR08</t>
        </is>
      </c>
      <c r="C81" t="inlineStr">
        <is>
          <t>[1]</t>
        </is>
      </c>
      <c r="D81" t="inlineStr">
        <is>
          <t>original p. 1; Council District 8 response</t>
        </is>
      </c>
    </row>
    <row r="82" ht="30" customHeight="1">
      <c r="A82" t="inlineStr">
        <is>
          <t>SECTION-control-meal-quality</t>
        </is>
      </c>
      <c r="B82" t="inlineStr">
        <is>
          <t>C37828979</t>
        </is>
      </c>
      <c r="C82" t="inlineStr">
        <is>
          <t>[11, 12, 13, 14, 44, 45, 46, 52, 53, 54]</t>
        </is>
      </c>
      <c r="D82" t="inlineStr">
        <is>
          <t>original pp. 11–14; requirements; pp. 44–46; proposal; pp. 52–54; sample menus</t>
        </is>
      </c>
    </row>
    <row r="83">
      <c r="A83" t="inlineStr">
        <is>
          <t>SECTION-control-meal-quality</t>
        </is>
      </c>
      <c r="B83" t="inlineStr">
        <is>
          <t>CNEWS10</t>
        </is>
      </c>
      <c r="C83" t="inlineStr">
        <is>
          <t>[]</t>
        </is>
      </c>
      <c r="D83" t="inlineStr">
        <is>
          <t>operator response on portions, menus and incoming-meal inspection</t>
        </is>
      </c>
    </row>
    <row r="84">
      <c r="A84" t="inlineStr">
        <is>
          <t>SECTION-control-meal-quality</t>
        </is>
      </c>
      <c r="B84" t="inlineStr">
        <is>
          <t>CCALMATTERS</t>
        </is>
      </c>
      <c r="C84" t="inlineStr">
        <is>
          <t>[]</t>
        </is>
      </c>
      <c r="D84" t="inlineStr">
        <is>
          <t>resident account of insufficient meals</t>
        </is>
      </c>
    </row>
    <row r="85">
      <c r="A85" t="inlineStr">
        <is>
          <t>SECTION-control-meal-quality</t>
        </is>
      </c>
      <c r="B85" t="inlineStr">
        <is>
          <t>CESCONDIDO</t>
        </is>
      </c>
      <c r="C85" t="inlineStr">
        <is>
          <t>[1, 2]</t>
        </is>
      </c>
      <c r="D85" t="inlineStr">
        <is>
          <t>original pp. 1–2; consent item 6 and vote</t>
        </is>
      </c>
    </row>
    <row r="86">
      <c r="A86" t="inlineStr">
        <is>
          <t>SECTION-control-meal-quality</t>
        </is>
      </c>
      <c r="B86" t="inlineStr">
        <is>
          <t>C37828979</t>
        </is>
      </c>
      <c r="C86" t="inlineStr">
        <is>
          <t>[56, 57, 58]</t>
        </is>
      </c>
      <c r="D86" t="inlineStr">
        <is>
          <t>original pp. 56–58; vendor-supplied CBP references</t>
        </is>
      </c>
    </row>
    <row r="87">
      <c r="A87" t="inlineStr">
        <is>
          <t>SECTION-control-meals-2026</t>
        </is>
      </c>
      <c r="B87" t="inlineStr">
        <is>
          <t>ROWE1119606</t>
        </is>
      </c>
      <c r="C87" t="inlineStr">
        <is>
          <t>[1, 2]</t>
        </is>
      </c>
      <c r="D87" t="inlineStr">
        <is>
          <t>original pp. 1–2; proposed spending and service scope</t>
        </is>
      </c>
    </row>
    <row r="88">
      <c r="A88" t="inlineStr">
        <is>
          <t>SECTION-control-meals-2026</t>
        </is>
      </c>
      <c r="B88" t="inlineStr">
        <is>
          <t>ROWE1119610</t>
        </is>
      </c>
      <c r="C88" t="inlineStr">
        <is>
          <t>[9, 10, 12, 13, 14, 15, 63, 94]</t>
        </is>
      </c>
      <c r="D88" t="inlineStr">
        <is>
          <t>original pp. 9–10, 12–15, 63, 94; evaluation, requirements, permit image and prices</t>
        </is>
      </c>
    </row>
    <row r="89">
      <c r="A89" t="inlineStr">
        <is>
          <t>SECTION-control-meals-2026</t>
        </is>
      </c>
      <c r="B89" t="inlineStr">
        <is>
          <t>COUNTYROWE</t>
        </is>
      </c>
      <c r="C89" t="inlineStr">
        <is>
          <t>[]</t>
        </is>
      </c>
      <c r="D89" t="inlineStr">
        <is>
          <t>result[0]; facility identity and permit status</t>
        </is>
      </c>
    </row>
    <row r="90">
      <c r="A90" t="inlineStr">
        <is>
          <t>SECTION-control-meals-2026</t>
        </is>
      </c>
      <c r="B90" t="inlineStr">
        <is>
          <t>HF-ROWE-FINAL</t>
        </is>
      </c>
      <c r="C90" t="inlineStr">
        <is>
          <t>[1, 2, 3]</t>
        </is>
      </c>
      <c r="D90" t="inlineStr">
        <is>
          <t>original pp. 1–3; exact ceiling, conditional appropriation and final passage</t>
        </is>
      </c>
    </row>
    <row r="91">
      <c r="A91" t="inlineStr">
        <is>
          <t>SECTION-control-kitchen</t>
        </is>
      </c>
      <c r="B91" t="inlineStr">
        <is>
          <t>COUNTYROWE</t>
        </is>
      </c>
      <c r="C91" t="inlineStr">
        <is>
          <t>[]</t>
        </is>
      </c>
      <c r="D91" t="inlineStr">
        <is>
          <t>result[0].inspections; exact inspection IDs and violation classifications</t>
        </is>
      </c>
    </row>
    <row r="92">
      <c r="A92" t="inlineStr">
        <is>
          <t>SECTION-control-resident-services</t>
        </is>
      </c>
      <c r="B92" t="inlineStr">
        <is>
          <t>DR10</t>
        </is>
      </c>
      <c r="C92" t="inlineStr">
        <is>
          <t>[3, 5, 6, 9, 10, 11, 18, 19]</t>
        </is>
      </c>
      <c r="D92" t="inlineStr">
        <is>
          <t>original pp. 3, 5–6, 9–11, 18–19; identifying incident pages linked, not redistributed</t>
        </is>
      </c>
    </row>
    <row r="93">
      <c r="A93" t="inlineStr">
        <is>
          <t>SECTION-control-resident-services</t>
        </is>
      </c>
      <c r="B93" t="inlineStr">
        <is>
          <t>DR04</t>
        </is>
      </c>
      <c r="C93" t="inlineStr">
        <is>
          <t>[17]</t>
        </is>
      </c>
      <c r="D93" t="inlineStr">
        <is>
          <t>original p. 17; operator reporting rule</t>
        </is>
      </c>
    </row>
    <row r="94">
      <c r="A94" t="inlineStr">
        <is>
          <t>SECTION-control-resident-services</t>
        </is>
      </c>
      <c r="B94" t="inlineStr">
        <is>
          <t>C34425047</t>
        </is>
      </c>
      <c r="C94" t="inlineStr">
        <is>
          <t>[19]</t>
        </is>
      </c>
      <c r="D94" t="inlineStr">
        <is>
          <t>original p. 19; contract reporting rule</t>
        </is>
      </c>
    </row>
    <row r="95">
      <c r="A95" t="inlineStr">
        <is>
          <t>SECTION-control-resident-services</t>
        </is>
      </c>
      <c r="B95" t="inlineStr">
        <is>
          <t>C51908446</t>
        </is>
      </c>
      <c r="C95" t="inlineStr">
        <is>
          <t>[1]</t>
        </is>
      </c>
      <c r="D95" t="inlineStr">
        <is>
          <t>original p. 1; Tier 4 form</t>
        </is>
      </c>
    </row>
    <row r="96">
      <c r="A96" t="inlineStr">
        <is>
          <t>SECTION-control-resident-services</t>
        </is>
      </c>
      <c r="B96" t="inlineStr">
        <is>
          <t>C47608474</t>
        </is>
      </c>
      <c r="C96" t="inlineStr">
        <is>
          <t>[1, 2, 6, 7]</t>
        </is>
      </c>
      <c r="D96" t="inlineStr">
        <is>
          <t>original pp. 1–2, 6–7; City/County accounts</t>
        </is>
      </c>
    </row>
    <row r="97">
      <c r="A97" t="inlineStr">
        <is>
          <t>SECTION-control-resident-services</t>
        </is>
      </c>
      <c r="B97" t="inlineStr">
        <is>
          <t>C46388596</t>
        </is>
      </c>
      <c r="C97" t="inlineStr">
        <is>
          <t>[5]</t>
        </is>
      </c>
      <c r="D97" t="inlineStr">
        <is>
          <t>original p. 5; guard log</t>
        </is>
      </c>
    </row>
    <row r="98">
      <c r="A98" t="inlineStr">
        <is>
          <t>SECTION-control-resident-services</t>
        </is>
      </c>
      <c r="B98" t="inlineStr">
        <is>
          <t>C69442641</t>
        </is>
      </c>
      <c r="C98" t="inlineStr">
        <is>
          <t>[40, 41]</t>
        </is>
      </c>
      <c r="D98" t="inlineStr">
        <is>
          <t>original pp. 40–41; exterior-encampment correspondence</t>
        </is>
      </c>
    </row>
    <row r="99">
      <c r="A99" t="inlineStr">
        <is>
          <t>SECTION-deep-jhat-lineage</t>
        </is>
      </c>
      <c r="B99" t="inlineStr">
        <is>
          <t>NR51908262</t>
        </is>
      </c>
      <c r="C99" t="inlineStr">
        <is>
          <t>[1]</t>
        </is>
      </c>
      <c r="D99" t="inlineStr">
        <is>
          <t>original p. 1; compare published filename with stated site/date</t>
        </is>
      </c>
    </row>
    <row r="100">
      <c r="A100" t="inlineStr">
        <is>
          <t>SECTION-deep-jhat-lineage</t>
        </is>
      </c>
      <c r="B100" t="inlineStr">
        <is>
          <t>NR51908269</t>
        </is>
      </c>
      <c r="C100" t="inlineStr">
        <is>
          <t>[1]</t>
        </is>
      </c>
      <c r="D100" t="inlineStr">
        <is>
          <t>original p. 1; compare published filename with stated site/date</t>
        </is>
      </c>
    </row>
    <row r="101">
      <c r="A101" t="inlineStr">
        <is>
          <t>SECTION-deep-jhat-lineage</t>
        </is>
      </c>
      <c r="B101" t="inlineStr">
        <is>
          <t>NR51908306</t>
        </is>
      </c>
      <c r="C101" t="inlineStr">
        <is>
          <t>[1]</t>
        </is>
      </c>
      <c r="D101" t="inlineStr">
        <is>
          <t>original p. 1; compare published filename with stated site/date</t>
        </is>
      </c>
    </row>
    <row r="102">
      <c r="A102" t="inlineStr">
        <is>
          <t>SECTION-deep-jhat-lineage</t>
        </is>
      </c>
      <c r="B102" t="inlineStr">
        <is>
          <t>NR51908367</t>
        </is>
      </c>
      <c r="C102" t="inlineStr">
        <is>
          <t>[1]</t>
        </is>
      </c>
      <c r="D102" t="inlineStr">
        <is>
          <t>original p. 1; compare published filename with stated site/date</t>
        </is>
      </c>
    </row>
    <row r="103">
      <c r="A103" t="inlineStr">
        <is>
          <t>SECTION-deep-jhat-lineage</t>
        </is>
      </c>
      <c r="B103" t="inlineStr">
        <is>
          <t>NR51908367</t>
        </is>
      </c>
      <c r="C103" t="inlineStr">
        <is>
          <t>[1]</t>
        </is>
      </c>
      <c r="D103" t="inlineStr">
        <is>
          <t>original p. 1; normalized body duplicate</t>
        </is>
      </c>
    </row>
    <row r="104">
      <c r="A104" t="inlineStr">
        <is>
          <t>SECTION-deep-jhat-lineage</t>
        </is>
      </c>
      <c r="B104" t="inlineStr">
        <is>
          <t>NR51908370</t>
        </is>
      </c>
      <c r="C104" t="inlineStr">
        <is>
          <t>[1]</t>
        </is>
      </c>
      <c r="D104" t="inlineStr">
        <is>
          <t>original p. 1; same body, different submission metadata</t>
        </is>
      </c>
    </row>
    <row r="105">
      <c r="A105" t="inlineStr">
        <is>
          <t>SECTION-deep-jhat-lineage</t>
        </is>
      </c>
      <c r="B105" t="inlineStr">
        <is>
          <t>NR51908272</t>
        </is>
      </c>
      <c r="C105" t="inlineStr">
        <is>
          <t>[1]</t>
        </is>
      </c>
      <c r="D105" t="inlineStr">
        <is>
          <t>original p. 1; fire/extinguisher and issue-category fields</t>
        </is>
      </c>
    </row>
    <row r="106">
      <c r="A106" t="inlineStr">
        <is>
          <t>SECTION-deep-jhat-lineage</t>
        </is>
      </c>
      <c r="B106" t="inlineStr">
        <is>
          <t>NR51908274</t>
        </is>
      </c>
      <c r="C106" t="inlineStr">
        <is>
          <t>[1]</t>
        </is>
      </c>
      <c r="D106" t="inlineStr">
        <is>
          <t>original p. 1; fire/extinguisher and issue-category fields</t>
        </is>
      </c>
    </row>
    <row r="107">
      <c r="A107" t="inlineStr">
        <is>
          <t>SECTION-deep-jhat-lineage</t>
        </is>
      </c>
      <c r="B107" t="inlineStr">
        <is>
          <t>NR51908276</t>
        </is>
      </c>
      <c r="C107" t="inlineStr">
        <is>
          <t>[1]</t>
        </is>
      </c>
      <c r="D107" t="inlineStr">
        <is>
          <t>original p. 1; fire/extinguisher and issue-category fields</t>
        </is>
      </c>
    </row>
    <row r="108">
      <c r="A108" t="inlineStr">
        <is>
          <t>SECTION-deep-jhat-lineage</t>
        </is>
      </c>
      <c r="B108" t="inlineStr">
        <is>
          <t>NR51908265</t>
        </is>
      </c>
      <c r="C108" t="inlineStr">
        <is>
          <t>[1]</t>
        </is>
      </c>
      <c r="D108" t="inlineStr">
        <is>
          <t>original p. 1; fire/extinguisher and issue-category fields</t>
        </is>
      </c>
    </row>
    <row r="109">
      <c r="A109" t="inlineStr">
        <is>
          <t>SECTION-deep-jhat-lineage</t>
        </is>
      </c>
      <c r="B109" t="inlineStr">
        <is>
          <t>NR51908266</t>
        </is>
      </c>
      <c r="C109" t="inlineStr">
        <is>
          <t>[1]</t>
        </is>
      </c>
      <c r="D109" t="inlineStr">
        <is>
          <t>original p. 1; fire/extinguisher and issue-category fields</t>
        </is>
      </c>
    </row>
    <row r="110">
      <c r="A110" t="inlineStr">
        <is>
          <t>SECTION-deep-jhat-lineage</t>
        </is>
      </c>
      <c r="B110" t="inlineStr">
        <is>
          <t>NR34425040</t>
        </is>
      </c>
      <c r="C110" t="inlineStr">
        <is>
          <t>[18]</t>
        </is>
      </c>
      <c r="D110" t="inlineStr">
        <is>
          <t>original p. 18; licensed Area 3</t>
        </is>
      </c>
    </row>
    <row r="111">
      <c r="A111" t="inlineStr">
        <is>
          <t>SECTION-deep-jhat-lineage</t>
        </is>
      </c>
      <c r="B111" t="inlineStr">
        <is>
          <t>NR34425044</t>
        </is>
      </c>
      <c r="C111" t="inlineStr">
        <is>
          <t>[18]</t>
        </is>
      </c>
      <c r="D111" t="inlineStr">
        <is>
          <t>original p. 18; licensed Areas 1 and 2</t>
        </is>
      </c>
    </row>
    <row r="112">
      <c r="A112" t="inlineStr">
        <is>
          <t>SECTION-deep-jhat-lineage</t>
        </is>
      </c>
      <c r="B112" t="inlineStr">
        <is>
          <t>RTFH-WAC2025</t>
        </is>
      </c>
      <c r="C112" t="inlineStr">
        <is>
          <t>[2]</t>
        </is>
      </c>
      <c r="D112" t="inlineStr">
        <is>
          <t>original p. 2; count-site tier/operator labels</t>
        </is>
      </c>
    </row>
    <row r="113">
      <c r="A113" t="inlineStr">
        <is>
          <t>SECTION-deep-inspections</t>
        </is>
      </c>
      <c r="B113" t="inlineStr">
        <is>
          <t>NR51908355</t>
        </is>
      </c>
      <c r="C113" t="inlineStr">
        <is>
          <t>[1]</t>
        </is>
      </c>
      <c r="D113" t="inlineStr">
        <is>
          <t>original p. 1; stated inspection date and aisle-clearance concern</t>
        </is>
      </c>
    </row>
    <row r="114">
      <c r="A114" t="inlineStr">
        <is>
          <t>SECTION-deep-inspections</t>
        </is>
      </c>
      <c r="B114" t="inlineStr">
        <is>
          <t>NR51908354</t>
        </is>
      </c>
      <c r="C114" t="inlineStr">
        <is>
          <t>[1]</t>
        </is>
      </c>
      <c r="D114" t="inlineStr">
        <is>
          <t>original p. 1; stated inspection date and aisle-clearance concern</t>
        </is>
      </c>
    </row>
    <row r="115">
      <c r="A115" t="inlineStr">
        <is>
          <t>SECTION-deep-inspections</t>
        </is>
      </c>
      <c r="B115" t="inlineStr">
        <is>
          <t>NR51908357</t>
        </is>
      </c>
      <c r="C115" t="inlineStr">
        <is>
          <t>[1]</t>
        </is>
      </c>
      <c r="D115" t="inlineStr">
        <is>
          <t>original p. 1; stated inspection date and aisle-clearance concern</t>
        </is>
      </c>
    </row>
    <row r="116">
      <c r="A116" t="inlineStr">
        <is>
          <t>SECTION-deep-inspections</t>
        </is>
      </c>
      <c r="B116" t="inlineStr">
        <is>
          <t>NR51908358</t>
        </is>
      </c>
      <c r="C116" t="inlineStr">
        <is>
          <t>[1]</t>
        </is>
      </c>
      <c r="D116" t="inlineStr">
        <is>
          <t>original p. 1; stated inspection date and aisle-clearance concern</t>
        </is>
      </c>
    </row>
    <row r="117">
      <c r="A117" t="inlineStr">
        <is>
          <t>SECTION-deep-inspections</t>
        </is>
      </c>
      <c r="B117" t="inlineStr">
        <is>
          <t>NR51908359</t>
        </is>
      </c>
      <c r="C117" t="inlineStr">
        <is>
          <t>[1]</t>
        </is>
      </c>
      <c r="D117" t="inlineStr">
        <is>
          <t>original p. 1; stated inspection date and aisle-clearance concern</t>
        </is>
      </c>
    </row>
    <row r="118">
      <c r="A118" t="inlineStr">
        <is>
          <t>SECTION-deep-inspections</t>
        </is>
      </c>
      <c r="B118" t="inlineStr">
        <is>
          <t>NR51908266</t>
        </is>
      </c>
      <c r="C118" t="inlineStr">
        <is>
          <t>[1]</t>
        </is>
      </c>
      <c r="D118" t="inlineStr">
        <is>
          <t>original p. 1; August 20, 2024 leak/rust entry</t>
        </is>
      </c>
    </row>
    <row r="119">
      <c r="A119" t="inlineStr">
        <is>
          <t>SECTION-deep-inspections</t>
        </is>
      </c>
      <c r="B119" t="inlineStr">
        <is>
          <t>NR51908268</t>
        </is>
      </c>
      <c r="C119" t="inlineStr">
        <is>
          <t>[1]</t>
        </is>
      </c>
      <c r="D119" t="inlineStr">
        <is>
          <t>original p. 1; September 17, 2024 later check</t>
        </is>
      </c>
    </row>
    <row r="120">
      <c r="A120" t="inlineStr">
        <is>
          <t>SECTION-deep-inspections</t>
        </is>
      </c>
      <c r="B120" t="inlineStr">
        <is>
          <t>IBA-2025-18</t>
        </is>
      </c>
      <c r="C120" t="inlineStr">
        <is>
          <t>[45, 46]</t>
        </is>
      </c>
      <c r="D120" t="inlineStr">
        <is>
          <t>original pp. 45–46; position 31017950 and stated vacancy/inspection risk</t>
        </is>
      </c>
    </row>
    <row r="121">
      <c r="A121" t="inlineStr">
        <is>
          <t>SECTION-deep-inspections</t>
        </is>
      </c>
      <c r="B121" t="inlineStr">
        <is>
          <t>OCA-followup-2023-12</t>
        </is>
      </c>
      <c r="C121" t="inlineStr">
        <is>
          <t>[31, 32]</t>
        </is>
      </c>
      <c r="D121" t="inlineStr">
        <is>
          <t>original pp. 31–32; implemented maintenance recommendations</t>
        </is>
      </c>
    </row>
    <row r="122">
      <c r="A122" t="inlineStr">
        <is>
          <t>SECTION-deep-inspections</t>
        </is>
      </c>
      <c r="B122" t="inlineStr">
        <is>
          <t>OCA-followup-2024-06</t>
        </is>
      </c>
      <c r="C122" t="inlineStr">
        <is>
          <t>[161]</t>
        </is>
      </c>
      <c r="D122" t="inlineStr">
        <is>
          <t>original p. 161; previous implementation confirmed</t>
        </is>
      </c>
    </row>
    <row r="123">
      <c r="A123" t="inlineStr">
        <is>
          <t>SECTION-control-overview</t>
        </is>
      </c>
      <c r="B123" t="inlineStr">
        <is>
          <t>BNR56369076</t>
        </is>
      </c>
      <c r="C123" t="inlineStr">
        <is>
          <t>[26, 27, 28, 29, 30, 31, 32, 33, 36, 37, 39, 41, 43, 45, 47]</t>
        </is>
      </c>
      <c r="D123" t="inlineStr">
        <is>
          <t>original FY2025 invoice pages; complete joins in Control-Proof/urban-rate-payment-reconciliation.json</t>
        </is>
      </c>
    </row>
    <row r="124">
      <c r="A124" t="inlineStr">
        <is>
          <t>SECTION-control-overview</t>
        </is>
      </c>
      <c r="B124" t="inlineStr">
        <is>
          <t>C51883083</t>
        </is>
      </c>
      <c r="C124" t="inlineStr">
        <is>
          <t>[]</t>
        </is>
      </c>
      <c r="D124" t="inlineStr">
        <is>
          <t>exact ZIP members and hashes in Control-Proof/supplier-receipt-verified-cases.json</t>
        </is>
      </c>
    </row>
    <row r="125">
      <c r="A125" t="inlineStr">
        <is>
          <t>SECTION-control-overview</t>
        </is>
      </c>
      <c r="B125" t="inlineStr">
        <is>
          <t>C55184122</t>
        </is>
      </c>
      <c r="C125" t="inlineStr">
        <is>
          <t>[1]</t>
        </is>
      </c>
      <c r="D125" t="inlineStr">
        <is>
          <t>original p. 1; displayed dinner fields</t>
        </is>
      </c>
    </row>
    <row r="126">
      <c r="A126" t="inlineStr">
        <is>
          <t>SECTION-control-overview</t>
        </is>
      </c>
      <c r="B126" t="inlineStr">
        <is>
          <t>C55177499</t>
        </is>
      </c>
      <c r="C126" t="inlineStr">
        <is>
          <t>[1]</t>
        </is>
      </c>
      <c r="D126" t="inlineStr">
        <is>
          <t>original p. 1; invoice 3379 and two PO/GR allocations</t>
        </is>
      </c>
    </row>
    <row r="127">
      <c r="A127" t="inlineStr">
        <is>
          <t>SECTION-control-pricing</t>
        </is>
      </c>
      <c r="B127" t="inlineStr">
        <is>
          <t>DR09</t>
        </is>
      </c>
      <c r="C127" t="inlineStr">
        <is>
          <t>[19, 85, 86]</t>
        </is>
      </c>
      <c r="D127" t="inlineStr">
        <is>
          <t>original pp. 19, 85–86; price changes and schedule</t>
        </is>
      </c>
    </row>
    <row r="128">
      <c r="A128" t="inlineStr">
        <is>
          <t>SECTION-control-pricing</t>
        </is>
      </c>
      <c r="B128" t="inlineStr">
        <is>
          <t>BNR56369076</t>
        </is>
      </c>
      <c r="C128" t="inlineStr">
        <is>
          <t>[37, 51, 53]</t>
        </is>
      </c>
      <c r="D128" t="inlineStr">
        <is>
          <t>original pp. 37, 51, 53; approved invoices</t>
        </is>
      </c>
    </row>
    <row r="129">
      <c r="A129" t="inlineStr">
        <is>
          <t>SECTION-control-pricing</t>
        </is>
      </c>
      <c r="B129" t="inlineStr">
        <is>
          <t>ABNR56369072</t>
        </is>
      </c>
      <c r="C129" t="inlineStr">
        <is>
          <t>[]</t>
        </is>
      </c>
      <c r="D129" t="inlineStr">
        <is>
          <t>All Data rows 100, 115, 117</t>
        </is>
      </c>
    </row>
    <row r="130">
      <c r="A130" t="inlineStr">
        <is>
          <t>SECTION-control-pricing</t>
        </is>
      </c>
      <c r="B130" t="inlineStr">
        <is>
          <t>C56369069</t>
        </is>
      </c>
      <c r="C130" t="inlineStr">
        <is>
          <t>[]</t>
        </is>
      </c>
      <c r="D130" t="inlineStr">
        <is>
          <t>SEPT DETAIL!G188,O188</t>
        </is>
      </c>
    </row>
    <row r="131">
      <c r="A131" t="inlineStr">
        <is>
          <t>SECTION-control-pricing</t>
        </is>
      </c>
      <c r="B131" t="inlineStr">
        <is>
          <t>C56369070</t>
        </is>
      </c>
      <c r="C131" t="inlineStr">
        <is>
          <t>[]</t>
        </is>
      </c>
      <c r="D131" t="inlineStr">
        <is>
          <t>SEPT DETAIL!G188, earlier version</t>
        </is>
      </c>
    </row>
    <row r="132">
      <c r="A132" t="inlineStr">
        <is>
          <t>SECTION-control-pricing</t>
        </is>
      </c>
      <c r="B132" t="inlineStr">
        <is>
          <t>C56369091</t>
        </is>
      </c>
      <c r="C132" t="inlineStr">
        <is>
          <t>[]</t>
        </is>
      </c>
      <c r="D132" t="inlineStr">
        <is>
          <t>AUG 2025 INVOICE !E36:G36</t>
        </is>
      </c>
    </row>
    <row r="133">
      <c r="A133" t="inlineStr">
        <is>
          <t>SECTION-invoices</t>
        </is>
      </c>
      <c r="B133" t="inlineStr">
        <is>
          <t>AN06</t>
        </is>
      </c>
      <c r="C133" t="inlineStr">
        <is>
          <t>[]</t>
        </is>
      </c>
      <c r="D133" t="inlineStr">
        <is>
          <t>Sheet1; JULY 2025 H39</t>
        </is>
      </c>
    </row>
    <row r="134">
      <c r="A134" t="inlineStr">
        <is>
          <t>SECTION-invoices</t>
        </is>
      </c>
      <c r="B134" t="inlineStr">
        <is>
          <t>ABNR56369072</t>
        </is>
      </c>
      <c r="C134" t="inlineStr">
        <is>
          <t>[]</t>
        </is>
      </c>
      <c r="D134" t="inlineStr">
        <is>
          <t>All Data row 116</t>
        </is>
      </c>
    </row>
    <row r="135">
      <c r="A135" t="inlineStr">
        <is>
          <t>SECTION-invoice-months</t>
        </is>
      </c>
      <c r="B135" t="inlineStr">
        <is>
          <t>BNR56369076</t>
        </is>
      </c>
      <c r="C135" t="inlineStr">
        <is>
          <t>[26, 27, 28, 29, 30, 31, 32, 33, 36, 37, 39, 41, 43, 45, 47]</t>
        </is>
      </c>
      <c r="D135" t="inlineStr">
        <is>
          <t>selected approved invoice pages</t>
        </is>
      </c>
    </row>
    <row r="136">
      <c r="A136" t="inlineStr">
        <is>
          <t>SECTION-invoice-months</t>
        </is>
      </c>
      <c r="B136" t="inlineStr">
        <is>
          <t>ABNR56369072</t>
        </is>
      </c>
      <c r="C136" t="inlineStr">
        <is>
          <t>[]</t>
        </is>
      </c>
      <c r="D136" t="inlineStr">
        <is>
          <t>All Data matched rows 81–110</t>
        </is>
      </c>
    </row>
    <row r="137">
      <c r="A137" t="inlineStr">
        <is>
          <t>SECTION-invoice-questions</t>
        </is>
      </c>
      <c r="B137" t="inlineStr">
        <is>
          <t>AN02</t>
        </is>
      </c>
      <c r="C137" t="inlineStr">
        <is>
          <t>[]</t>
        </is>
      </c>
      <c r="D137" t="inlineStr">
        <is>
          <t>MARCH 2025 DETAIL / MARCH 25 INVOICE</t>
        </is>
      </c>
    </row>
    <row r="138">
      <c r="A138" t="inlineStr">
        <is>
          <t>SECTION-invoice-questions</t>
        </is>
      </c>
      <c r="B138" t="inlineStr">
        <is>
          <t>AN04</t>
        </is>
      </c>
      <c r="C138" t="inlineStr">
        <is>
          <t>[]</t>
        </is>
      </c>
      <c r="D138" t="inlineStr">
        <is>
          <t>CorpsNET_CrewRoster_DETAIL; SUM selection</t>
        </is>
      </c>
    </row>
    <row r="139">
      <c r="A139" t="inlineStr">
        <is>
          <t>SECTION-invoice-questions</t>
        </is>
      </c>
      <c r="B139" t="inlineStr">
        <is>
          <t>AN05</t>
        </is>
      </c>
      <c r="C139" t="inlineStr">
        <is>
          <t>[]</t>
        </is>
      </c>
      <c r="D139" t="inlineStr">
        <is>
          <t>june 25 corpsnet; approved vehicle revision</t>
        </is>
      </c>
    </row>
    <row r="140">
      <c r="A140" t="inlineStr">
        <is>
          <t>SECTION-invoice-questions</t>
        </is>
      </c>
      <c r="B140" t="inlineStr">
        <is>
          <t>BNR56369076</t>
        </is>
      </c>
      <c r="C140" t="inlineStr">
        <is>
          <t>[32]</t>
        </is>
      </c>
      <c r="D140" t="inlineStr">
        <is>
          <t>original p. 32; Western row and headings</t>
        </is>
      </c>
    </row>
    <row r="141">
      <c r="A141" t="inlineStr">
        <is>
          <t>SECTION-november-formulas</t>
        </is>
      </c>
      <c r="B141" t="inlineStr">
        <is>
          <t>DR13</t>
        </is>
      </c>
      <c r="C141" t="inlineStr">
        <is>
          <t>[]</t>
        </is>
      </c>
      <c r="D141" t="inlineStr">
        <is>
          <t>NOV INV 2024 E18:K23, M37; NOV 2024 E45:F81</t>
        </is>
      </c>
    </row>
    <row r="142">
      <c r="A142" t="inlineStr">
        <is>
          <t>SECTION-november-formulas</t>
        </is>
      </c>
      <c r="B142" t="inlineStr">
        <is>
          <t>DR14</t>
        </is>
      </c>
      <c r="C142" t="inlineStr">
        <is>
          <t>[]</t>
        </is>
      </c>
      <c r="D142" t="inlineStr">
        <is>
          <t>NOV INV 2024 D23:M23, M37; NOV 2024 E45:F81</t>
        </is>
      </c>
    </row>
    <row r="143">
      <c r="A143" t="inlineStr">
        <is>
          <t>SECTION-november-formulas</t>
        </is>
      </c>
      <c r="B143" t="inlineStr">
        <is>
          <t>BNR56369076</t>
        </is>
      </c>
      <c r="C143" t="inlineStr">
        <is>
          <t>[32, 33]</t>
        </is>
      </c>
      <c r="D143" t="inlineStr">
        <is>
          <t>original pp. 32–33; Western row and month total</t>
        </is>
      </c>
    </row>
    <row r="144">
      <c r="A144" t="inlineStr">
        <is>
          <t>SECTION-november-formulas</t>
        </is>
      </c>
      <c r="B144" t="inlineStr">
        <is>
          <t>ABNR56369072</t>
        </is>
      </c>
      <c r="C144" t="inlineStr">
        <is>
          <t>[]</t>
        </is>
      </c>
      <c r="D144" t="inlineStr">
        <is>
          <t>All Data row 94; reference 24-05110</t>
        </is>
      </c>
    </row>
    <row r="145">
      <c r="A145" t="inlineStr">
        <is>
          <t>SECTION-deep-invoice-lineage</t>
        </is>
      </c>
      <c r="B145" t="inlineStr">
        <is>
          <t>NR56369088</t>
        </is>
      </c>
      <c r="C145" t="inlineStr">
        <is>
          <t>[]</t>
        </is>
      </c>
      <c r="D145" t="inlineStr">
        <is>
          <t>AUGUST 2024!J164=SUM(J141:J163); J141 preceding Central total</t>
        </is>
      </c>
    </row>
    <row r="146">
      <c r="A146" t="inlineStr">
        <is>
          <t>SECTION-deep-invoice-lineage</t>
        </is>
      </c>
      <c r="B146" t="inlineStr">
        <is>
          <t>NR56369089</t>
        </is>
      </c>
      <c r="C146" t="inlineStr">
        <is>
          <t>[]</t>
        </is>
      </c>
      <c r="D146" t="inlineStr">
        <is>
          <t>AUGUST 2024!J164=SUM(J142:J163); edited invoice total</t>
        </is>
      </c>
    </row>
    <row r="147">
      <c r="A147" t="inlineStr">
        <is>
          <t>SECTION-deep-invoice-lineage</t>
        </is>
      </c>
      <c r="B147" t="inlineStr">
        <is>
          <t>AN02</t>
        </is>
      </c>
      <c r="C147" t="inlineStr">
        <is>
          <t>[]</t>
        </is>
      </c>
      <c r="D147" t="inlineStr">
        <is>
          <t>MARCH 25 INVOICE!G20 and mileage source; retained February link/cache</t>
        </is>
      </c>
    </row>
    <row r="148">
      <c r="A148" t="inlineStr">
        <is>
          <t>SECTION-deep-invoice-lineage</t>
        </is>
      </c>
      <c r="B148" t="inlineStr">
        <is>
          <t>BNR56369076</t>
        </is>
      </c>
      <c r="C148" t="inlineStr">
        <is>
          <t>[27, 41]</t>
        </is>
      </c>
      <c r="D148" t="inlineStr">
        <is>
          <t>original pp. 27, 41; approved August/March invoices</t>
        </is>
      </c>
    </row>
    <row r="149">
      <c r="A149" t="inlineStr">
        <is>
          <t>SECTION-deep-invoice-lineage</t>
        </is>
      </c>
      <c r="B149" t="inlineStr">
        <is>
          <t>ABNR56369072</t>
        </is>
      </c>
      <c r="C149" t="inlineStr">
        <is>
          <t>[]</t>
        </is>
      </c>
      <c r="D149" t="inlineStr">
        <is>
          <t>All Data; invoice references 24-02110 and 24-09110, amounts and clearing fields</t>
        </is>
      </c>
    </row>
    <row r="150">
      <c r="A150" t="inlineStr">
        <is>
          <t>SECTION-control-receipts</t>
        </is>
      </c>
      <c r="B150" t="inlineStr">
        <is>
          <t>C55177515</t>
        </is>
      </c>
      <c r="C150" t="inlineStr">
        <is>
          <t>[1]</t>
        </is>
      </c>
      <c r="D150" t="inlineStr">
        <is>
          <t>original p. 1; Circuit 3162</t>
        </is>
      </c>
    </row>
    <row r="151">
      <c r="A151" t="inlineStr">
        <is>
          <t>SECTION-control-receipts</t>
        </is>
      </c>
      <c r="B151" t="inlineStr">
        <is>
          <t>C55177518</t>
        </is>
      </c>
      <c r="C151" t="inlineStr">
        <is>
          <t>[1]</t>
        </is>
      </c>
      <c r="D151" t="inlineStr">
        <is>
          <t>original p. 1; second Circuit 3162 copy</t>
        </is>
      </c>
    </row>
    <row r="152">
      <c r="A152" t="inlineStr">
        <is>
          <t>SECTION-control-receipts</t>
        </is>
      </c>
      <c r="B152" t="inlineStr">
        <is>
          <t>C55177508</t>
        </is>
      </c>
      <c r="C152" t="inlineStr">
        <is>
          <t>[1]</t>
        </is>
      </c>
      <c r="D152" t="inlineStr">
        <is>
          <t>original p. 1; Circuit 3227</t>
        </is>
      </c>
    </row>
    <row r="153">
      <c r="A153" t="inlineStr">
        <is>
          <t>SECTION-control-receipts</t>
        </is>
      </c>
      <c r="B153" t="inlineStr">
        <is>
          <t>C55177520</t>
        </is>
      </c>
      <c r="C153" t="inlineStr">
        <is>
          <t>[1]</t>
        </is>
      </c>
      <c r="D153" t="inlineStr">
        <is>
          <t>original p. 1; second Circuit 3227 copy</t>
        </is>
      </c>
    </row>
    <row r="154">
      <c r="A154" t="inlineStr">
        <is>
          <t>SECTION-control-receipts</t>
        </is>
      </c>
      <c r="B154" t="inlineStr">
        <is>
          <t>C51883083</t>
        </is>
      </c>
      <c r="C154" t="inlineStr">
        <is>
          <t>[]</t>
        </is>
      </c>
      <c r="D154" t="inlineStr">
        <is>
          <t>five United invoice groups; exact ZIP member map in the proof</t>
        </is>
      </c>
    </row>
    <row r="155">
      <c r="A155" t="inlineStr">
        <is>
          <t>SECTION-control-rowe-authority</t>
        </is>
      </c>
      <c r="B155" t="inlineStr">
        <is>
          <t>CR316360</t>
        </is>
      </c>
      <c r="C155" t="inlineStr">
        <is>
          <t>[1, 2, 5]</t>
        </is>
      </c>
      <c r="D155" t="inlineStr">
        <is>
          <t>original pp. 1–2, 5; authority and vote</t>
        </is>
      </c>
    </row>
    <row r="156">
      <c r="A156" t="inlineStr">
        <is>
          <t>SECTION-control-rowe-authority</t>
        </is>
      </c>
      <c r="B156" t="inlineStr">
        <is>
          <t>ROWE999688</t>
        </is>
      </c>
      <c r="C156" t="inlineStr">
        <is>
          <t>[1, 2]</t>
        </is>
      </c>
      <c r="D156" t="inlineStr">
        <is>
          <t>original pp. 1–2; demand and fiscal projections</t>
        </is>
      </c>
    </row>
    <row r="157">
      <c r="A157" t="inlineStr">
        <is>
          <t>SECTION-control-rowe-authority</t>
        </is>
      </c>
      <c r="B157" t="inlineStr">
        <is>
          <t>ROWE999690</t>
        </is>
      </c>
      <c r="C157" t="inlineStr">
        <is>
          <t>[1]</t>
        </is>
      </c>
      <c r="D157" t="inlineStr">
        <is>
          <t>original p. 1; certificate 3000017848</t>
        </is>
      </c>
    </row>
    <row r="158">
      <c r="A158" t="inlineStr">
        <is>
          <t>SECTION-control-rowe-authority</t>
        </is>
      </c>
      <c r="B158" t="inlineStr">
        <is>
          <t>ROWE999693</t>
        </is>
      </c>
      <c r="C158" t="inlineStr">
        <is>
          <t>[1, 2]</t>
        </is>
      </c>
      <c r="D158" t="inlineStr">
        <is>
          <t>original pp. 1–2; amendment and signature fields</t>
        </is>
      </c>
    </row>
    <row r="159">
      <c r="A159" t="inlineStr">
        <is>
          <t>SECTION-control-rowe-authority</t>
        </is>
      </c>
      <c r="B159" t="inlineStr">
        <is>
          <t>C55184143</t>
        </is>
      </c>
      <c r="C159" t="inlineStr">
        <is>
          <t>[1]</t>
        </is>
      </c>
      <c r="D159" t="inlineStr">
        <is>
          <t>original p. 1; July invoice 241</t>
        </is>
      </c>
    </row>
    <row r="160">
      <c r="A160" t="inlineStr">
        <is>
          <t>SECTION-control-meal-line</t>
        </is>
      </c>
      <c r="B160" t="inlineStr">
        <is>
          <t>C55184122</t>
        </is>
      </c>
      <c r="C160" t="inlineStr">
        <is>
          <t>[1]</t>
        </is>
      </c>
      <c r="D160" t="inlineStr">
        <is>
          <t>original p. 1; May invoice 18</t>
        </is>
      </c>
    </row>
    <row r="161">
      <c r="A161" t="inlineStr">
        <is>
          <t>SECTION-control-meal-line</t>
        </is>
      </c>
      <c r="B161" t="inlineStr">
        <is>
          <t>C55184131</t>
        </is>
      </c>
      <c r="C161" t="inlineStr">
        <is>
          <t>[1]</t>
        </is>
      </c>
      <c r="D161" t="inlineStr">
        <is>
          <t>original p. 1; April invoice 17</t>
        </is>
      </c>
    </row>
    <row r="162">
      <c r="A162" t="inlineStr">
        <is>
          <t>SECTION-control-meal-line</t>
        </is>
      </c>
      <c r="B162" t="inlineStr">
        <is>
          <t>C37828979</t>
        </is>
      </c>
      <c r="C162" t="inlineStr">
        <is>
          <t>[14, 17, 18]</t>
        </is>
      </c>
      <c r="D162" t="inlineStr">
        <is>
          <t>original pp. 14, 17–18; receipts, invoicing and price changes</t>
        </is>
      </c>
    </row>
    <row r="163">
      <c r="A163" t="inlineStr">
        <is>
          <t>SECTION-deep-meal-duty</t>
        </is>
      </c>
      <c r="B163" t="inlineStr">
        <is>
          <t>NR35389114</t>
        </is>
      </c>
      <c r="C163" t="inlineStr">
        <is>
          <t>[5]</t>
        </is>
      </c>
      <c r="D163" t="inlineStr">
        <is>
          <t>original p. 5; Exhibit A, D.3.b.1</t>
        </is>
      </c>
    </row>
    <row r="164">
      <c r="A164" t="inlineStr">
        <is>
          <t>SECTION-deep-meal-duty</t>
        </is>
      </c>
      <c r="B164" t="inlineStr">
        <is>
          <t>C34425047</t>
        </is>
      </c>
      <c r="C164" t="inlineStr">
        <is>
          <t>[15, 16]</t>
        </is>
      </c>
      <c r="D164" t="inlineStr">
        <is>
          <t>original pp. 15–16; O Lot City-provided meals and distribution clauses</t>
        </is>
      </c>
    </row>
    <row r="165">
      <c r="A165" t="inlineStr">
        <is>
          <t>SECTION-deep-meal-duty</t>
        </is>
      </c>
      <c r="B165" t="inlineStr">
        <is>
          <t>NR64725515</t>
        </is>
      </c>
      <c r="C165" t="inlineStr">
        <is>
          <t>[1, 2, 3]</t>
        </is>
      </c>
      <c r="D165" t="inlineStr">
        <is>
          <t>original pp. 1–3; 20th &amp; B First Amendment</t>
        </is>
      </c>
    </row>
    <row r="166">
      <c r="A166" t="inlineStr">
        <is>
          <t>SECTION-deep-meal-duty</t>
        </is>
      </c>
      <c r="B166" t="inlineStr">
        <is>
          <t>NR41965641</t>
        </is>
      </c>
      <c r="C166" t="inlineStr">
        <is>
          <t>[1, 2, 3, 4, 5]</t>
        </is>
      </c>
      <c r="D166" t="inlineStr">
        <is>
          <t>original pp. 1–5; 20th &amp; B Second Amendment</t>
        </is>
      </c>
    </row>
    <row r="167">
      <c r="A167" t="inlineStr">
        <is>
          <t>SECTION-deep-meal-duty</t>
        </is>
      </c>
      <c r="B167" t="inlineStr">
        <is>
          <t>C64725518</t>
        </is>
      </c>
      <c r="C167" t="inlineStr">
        <is>
          <t>[1, 2, 3, 4]</t>
        </is>
      </c>
      <c r="D167" t="inlineStr">
        <is>
          <t>original pp. 1–4; 20th &amp; B Third Amendment</t>
        </is>
      </c>
    </row>
    <row r="168">
      <c r="A168" t="inlineStr">
        <is>
          <t>SECTION-deep-meal-duty</t>
        </is>
      </c>
      <c r="B168" t="inlineStr">
        <is>
          <t>C64725518</t>
        </is>
      </c>
      <c r="C168" t="inlineStr">
        <is>
          <t>[1, 2, 3, 4]</t>
        </is>
      </c>
      <c r="D168" t="inlineStr">
        <is>
          <t>original pp. 1–4; term, signatures and effective-date clause</t>
        </is>
      </c>
    </row>
    <row r="169">
      <c r="A169" t="inlineStr">
        <is>
          <t>SECTION-deep-meal-duty</t>
        </is>
      </c>
      <c r="B169" t="inlineStr">
        <is>
          <t>C64725511</t>
        </is>
      </c>
      <c r="C169" t="inlineStr">
        <is>
          <t>[1, 2, 3, 4]</t>
        </is>
      </c>
      <c r="D169" t="inlineStr">
        <is>
          <t>original pp. 1–4; O Lot term and execution</t>
        </is>
      </c>
    </row>
    <row r="170">
      <c r="A170" t="inlineStr">
        <is>
          <t>SECTION-deep-meal-duty</t>
        </is>
      </c>
      <c r="B170" t="inlineStr">
        <is>
          <t>R-315452</t>
        </is>
      </c>
      <c r="C170" t="inlineStr">
        <is>
          <t>[2, 4]</t>
        </is>
      </c>
      <c r="D170" t="inlineStr">
        <is>
          <t>original pp. 2, 4; correct increase</t>
        </is>
      </c>
    </row>
    <row r="171">
      <c r="A171" t="inlineStr">
        <is>
          <t>SECTION-deep-meal-duty</t>
        </is>
      </c>
      <c r="B171" t="inlineStr">
        <is>
          <t>NR41965641</t>
        </is>
      </c>
      <c r="C171" t="inlineStr">
        <is>
          <t>[1]</t>
        </is>
      </c>
      <c r="D171" t="inlineStr">
        <is>
          <t>original p. 1, recital 2; transposed amount</t>
        </is>
      </c>
    </row>
    <row r="172">
      <c r="A172" t="inlineStr">
        <is>
          <t>SECTION-deep-meal-duty</t>
        </is>
      </c>
      <c r="B172" t="inlineStr">
        <is>
          <t>C64725518</t>
        </is>
      </c>
      <c r="C172" t="inlineStr">
        <is>
          <t>[1]</t>
        </is>
      </c>
      <c r="D172" t="inlineStr">
        <is>
          <t>original p. 1, recital 2; repeated transposition</t>
        </is>
      </c>
    </row>
    <row r="173">
      <c r="A173" t="inlineStr">
        <is>
          <t>SECTION-control-budgets</t>
        </is>
      </c>
      <c r="B173" t="inlineStr">
        <is>
          <t>C64090984</t>
        </is>
      </c>
      <c r="C173" t="inlineStr">
        <is>
          <t>[2, 3]</t>
        </is>
      </c>
      <c r="D173" t="inlineStr">
        <is>
          <t>original pp. 2–3; March YTD columns</t>
        </is>
      </c>
    </row>
    <row r="174">
      <c r="A174" t="inlineStr">
        <is>
          <t>SECTION-control-budgets</t>
        </is>
      </c>
      <c r="B174" t="inlineStr">
        <is>
          <t>C64091015</t>
        </is>
      </c>
      <c r="C174" t="inlineStr">
        <is>
          <t>[1]</t>
        </is>
      </c>
      <c r="D174" t="inlineStr">
        <is>
          <t>original p. 1; April 20th &amp; B request</t>
        </is>
      </c>
    </row>
    <row r="175">
      <c r="A175" t="inlineStr">
        <is>
          <t>SECTION-control-budgets</t>
        </is>
      </c>
      <c r="B175" t="inlineStr">
        <is>
          <t>C64091016</t>
        </is>
      </c>
      <c r="C175" t="inlineStr">
        <is>
          <t>[1]</t>
        </is>
      </c>
      <c r="D175" t="inlineStr">
        <is>
          <t>original p. 1; April O Lot request</t>
        </is>
      </c>
    </row>
    <row r="176">
      <c r="A176" t="inlineStr">
        <is>
          <t>SECTION-control-budgets</t>
        </is>
      </c>
      <c r="B176" t="inlineStr">
        <is>
          <t>C64725518</t>
        </is>
      </c>
      <c r="C176" t="inlineStr">
        <is>
          <t>[1, 3]</t>
        </is>
      </c>
      <c r="D176" t="inlineStr">
        <is>
          <t>original pp. 1, 3; 20th &amp; B Third Amendment</t>
        </is>
      </c>
    </row>
    <row r="177">
      <c r="A177" t="inlineStr">
        <is>
          <t>SECTION-control-budgets</t>
        </is>
      </c>
      <c r="B177" t="inlineStr">
        <is>
          <t>C64725511</t>
        </is>
      </c>
      <c r="C177" t="inlineStr">
        <is>
          <t>[1, 3]</t>
        </is>
      </c>
      <c r="D177" t="inlineStr">
        <is>
          <t>original pp. 1, 3; O Lot Third Amendment</t>
        </is>
      </c>
    </row>
    <row r="178">
      <c r="A178" t="inlineStr">
        <is>
          <t>SECTION-control-budgets</t>
        </is>
      </c>
      <c r="B178" t="inlineStr">
        <is>
          <t>BK08</t>
        </is>
      </c>
      <c r="C178" t="inlineStr">
        <is>
          <t>[56, 57]</t>
        </is>
      </c>
      <c r="D178" t="inlineStr">
        <is>
          <t>original pp. 56–57; Round 6 allocation and budget-to-actual funding table</t>
        </is>
      </c>
    </row>
    <row r="179">
      <c r="A179" t="inlineStr">
        <is>
          <t>SECTION-control-budgets</t>
        </is>
      </c>
      <c r="B179" t="inlineStr">
        <is>
          <t>HCD-FISCAL-SNAPSHOT</t>
        </is>
      </c>
      <c r="C179" t="inlineStr">
        <is>
          <t>[]</t>
        </is>
      </c>
      <c r="D179" t="inlineStr">
        <is>
          <t>HHAP 6!F16:U16; June obligations and expenditures</t>
        </is>
      </c>
    </row>
    <row r="180">
      <c r="A180" t="inlineStr">
        <is>
          <t>SECTION-control-priorperiod</t>
        </is>
      </c>
      <c r="B180" t="inlineStr">
        <is>
          <t>C64725401</t>
        </is>
      </c>
      <c r="C180" t="inlineStr">
        <is>
          <t>[28, 29, 38, 39]</t>
        </is>
      </c>
      <c r="D180" t="inlineStr">
        <is>
          <t>original pp. 28–29, 38–39; City June/July adjustment forms</t>
        </is>
      </c>
    </row>
    <row r="181">
      <c r="A181" t="inlineStr">
        <is>
          <t>SECTION-control-priorperiod</t>
        </is>
      </c>
      <c r="B181" t="inlineStr">
        <is>
          <t>C64027654</t>
        </is>
      </c>
      <c r="C181" t="inlineStr">
        <is>
          <t>[14]</t>
        </is>
      </c>
      <c r="D181" t="inlineStr">
        <is>
          <t>original p. 14; June adjusted amounts and accounting dates</t>
        </is>
      </c>
    </row>
    <row r="182">
      <c r="A182" t="inlineStr">
        <is>
          <t>SECTION-deep-accounting</t>
        </is>
      </c>
      <c r="B182" t="inlineStr">
        <is>
          <t>C64027654</t>
        </is>
      </c>
      <c r="C182" t="inlineStr">
        <is>
          <t>[1, 2, 3, 4, 5, 6, 7, 8, 9, 10, 11, 12, 13, 14]</t>
        </is>
      </c>
      <c r="D182" t="inlineStr">
        <is>
          <t>original pp. 1–14; exact vendor/cost-object selections and row bridges in period-basis-reconciliation.json</t>
        </is>
      </c>
    </row>
    <row r="183">
      <c r="A183" t="inlineStr">
        <is>
          <t>SECTION-deep-accounting</t>
        </is>
      </c>
      <c r="B183" t="inlineStr">
        <is>
          <t>R-315810</t>
        </is>
      </c>
      <c r="C183" t="inlineStr">
        <is>
          <t>[1, 2, 3, 5, 6]</t>
        </is>
      </c>
      <c r="D183" t="inlineStr">
        <is>
          <t>original pp. 1–3, 5–6; approval, term and authority</t>
        </is>
      </c>
    </row>
    <row r="184">
      <c r="A184" t="inlineStr">
        <is>
          <t>SECTION-deep-accounting</t>
        </is>
      </c>
      <c r="B184" t="inlineStr">
        <is>
          <t>Docket931911</t>
        </is>
      </c>
      <c r="C184" t="inlineStr">
        <is>
          <t>[2, 3]</t>
        </is>
      </c>
      <c r="D184" t="inlineStr">
        <is>
          <t>original pp. 2–3; FY2025 expenditure limit</t>
        </is>
      </c>
    </row>
    <row r="185">
      <c r="A185" t="inlineStr">
        <is>
          <t>SECTION-deep-funding</t>
        </is>
      </c>
      <c r="B185" t="inlineStr">
        <is>
          <t>HCD-FISCAL-SNAPSHOT</t>
        </is>
      </c>
      <c r="C185" t="inlineStr">
        <is>
          <t>[]</t>
        </is>
      </c>
      <c r="D185" t="inlineStr">
        <is>
          <t>HHAP 5!I16:X16; HHAP 6!F16:U16; monthly dates in row 5; HHAP 1 June 2026 cells are Not Submitted</t>
        </is>
      </c>
    </row>
    <row r="186">
      <c r="A186" t="inlineStr">
        <is>
          <t>SECTION-deep-funding</t>
        </is>
      </c>
      <c r="B186" t="inlineStr">
        <is>
          <t>DR18</t>
        </is>
      </c>
      <c r="C186" t="inlineStr">
        <is>
          <t>[1, 43]</t>
        </is>
      </c>
      <c r="D186" t="inlineStr">
        <is>
          <t>original pp. 1, 43; award and annual fiscal totals</t>
        </is>
      </c>
    </row>
    <row r="187">
      <c r="A187" t="inlineStr">
        <is>
          <t>SECTION-deep-funding</t>
        </is>
      </c>
      <c r="B187" t="inlineStr">
        <is>
          <t>BK08</t>
        </is>
      </c>
      <c r="C187" t="inlineStr">
        <is>
          <t>[55, 56, 57]</t>
        </is>
      </c>
      <c r="D187" t="inlineStr">
        <is>
          <t>original pp. 55–57; funding and expenditure tables</t>
        </is>
      </c>
    </row>
    <row r="188">
      <c r="A188" t="inlineStr">
        <is>
          <t>SECTION-deep-funding</t>
        </is>
      </c>
      <c r="B188" t="inlineStr">
        <is>
          <t>HCD-HHAP-ANNUAL-XLSX</t>
        </is>
      </c>
      <c r="C188" t="inlineStr">
        <is>
          <t>[]</t>
        </is>
      </c>
      <c r="D188" t="inlineStr">
        <is>
          <t>San Diego!A1:Q102; repeated-address groups and exact annual reconciliation in Deep-Research-Proof</t>
        </is>
      </c>
    </row>
    <row r="189">
      <c r="A189" t="inlineStr">
        <is>
          <t>SECTION-deep-funding</t>
        </is>
      </c>
      <c r="B189" t="inlineStr">
        <is>
          <t>HCD-COMPLIANCE</t>
        </is>
      </c>
      <c r="C189" t="inlineStr">
        <is>
          <t>[]</t>
        </is>
      </c>
      <c r="D189" t="inlineStr">
        <is>
          <t>ReadMe!B11,B12,B21; City participation rows 102,185–187,226</t>
        </is>
      </c>
    </row>
    <row r="190">
      <c r="A190" t="inlineStr">
        <is>
          <t>SECTION-deep-acquisitions</t>
        </is>
      </c>
      <c r="B190" t="inlineStr">
        <is>
          <t>FJV-GOLDEN-FY23-BUDGET</t>
        </is>
      </c>
      <c r="C190" t="inlineStr">
        <is>
          <t>[1]</t>
        </is>
      </c>
      <c r="D190" t="inlineStr">
        <is>
          <t>original p. 1; detailed FY2023 budget</t>
        </is>
      </c>
    </row>
    <row r="191">
      <c r="A191" t="inlineStr">
        <is>
          <t>SECTION-deep-acquisitions</t>
        </is>
      </c>
      <c r="B191" t="inlineStr">
        <is>
          <t>HAR22-021</t>
        </is>
      </c>
      <c r="C191" t="inlineStr">
        <is>
          <t>[11, 31, 55]</t>
        </is>
      </c>
      <c r="D191" t="inlineStr">
        <is>
          <t>original pp. 11, 31, 55; unsigned agreement, scope and compensation</t>
        </is>
      </c>
    </row>
    <row r="192">
      <c r="A192" t="inlineStr">
        <is>
          <t>SECTION-deep-acquisitions</t>
        </is>
      </c>
      <c r="B192" t="inlineStr">
        <is>
          <t>HA-1956</t>
        </is>
      </c>
      <c r="C192" t="inlineStr">
        <is>
          <t>[3, 5]</t>
        </is>
      </c>
      <c r="D192" t="inlineStr">
        <is>
          <t>original pp. 3, 5; authorization and adoption</t>
        </is>
      </c>
    </row>
    <row r="193">
      <c r="A193" t="inlineStr">
        <is>
          <t>SECTION-deep-acquisitions</t>
        </is>
      </c>
      <c r="B193" t="inlineStr">
        <is>
          <t>HCR22-068</t>
        </is>
      </c>
      <c r="C193" t="inlineStr">
        <is>
          <t>[3, 7]</t>
        </is>
      </c>
      <c r="D193" t="inlineStr">
        <is>
          <t>original pp. 3, 7; term, budget and funding split</t>
        </is>
      </c>
    </row>
    <row r="194">
      <c r="A194" t="inlineStr">
        <is>
          <t>SECTION-deep-acquisitions</t>
        </is>
      </c>
      <c r="B194" t="inlineStr">
        <is>
          <t>SDHC-2022-05-05-MINUTES</t>
        </is>
      </c>
      <c r="C194" t="inlineStr">
        <is>
          <t>[9]</t>
        </is>
      </c>
      <c r="D194" t="inlineStr">
        <is>
          <t>original p. 9; approval vote</t>
        </is>
      </c>
    </row>
    <row r="195">
      <c r="A195" t="inlineStr">
        <is>
          <t>SECTION-deep-acquisitions</t>
        </is>
      </c>
      <c r="B195" t="inlineStr">
        <is>
          <t>HERO-LEASE-PUBLIC</t>
        </is>
      </c>
      <c r="C195" t="inlineStr">
        <is>
          <t>[1, 2, 3]</t>
        </is>
      </c>
      <c r="D195" t="inlineStr">
        <is>
          <t>original pp. 1–3; FY2026 rent and execution</t>
        </is>
      </c>
    </row>
    <row r="196">
      <c r="A196" t="inlineStr">
        <is>
          <t>SECTION-deep-acquisitions</t>
        </is>
      </c>
      <c r="B196" t="inlineStr">
        <is>
          <t>LEASES-CSV-CURRENT</t>
        </is>
      </c>
      <c r="C196" t="inlineStr">
        <is>
          <t>[]</t>
        </is>
      </c>
      <c r="D196" t="inlineStr">
        <is>
          <t>agreement-type rows include License and Permit; blank rent fields remain unknown</t>
        </is>
      </c>
    </row>
    <row r="197">
      <c r="A197" t="inlineStr">
        <is>
          <t>SECTION-deep-acquisitions</t>
        </is>
      </c>
      <c r="B197" t="inlineStr">
        <is>
          <t>DFC-2024-AGREEMENT</t>
        </is>
      </c>
      <c r="C197" t="inlineStr">
        <is>
          <t>[5, 18, 23]</t>
        </is>
      </c>
      <c r="D197" t="inlineStr">
        <is>
          <t>original pp. 5, 18, 23; Mission Valley fee, execution and location</t>
        </is>
      </c>
    </row>
    <row r="198">
      <c r="A198" t="inlineStr">
        <is>
          <t>SECTION-deep-acquisitions</t>
        </is>
      </c>
      <c r="B198" t="inlineStr">
        <is>
          <t>NR34425039</t>
        </is>
      </c>
      <c r="C198" t="inlineStr">
        <is>
          <t>[2, 15]</t>
        </is>
      </c>
      <c r="D198" t="inlineStr">
        <is>
          <t>original pp. 2, 15; Rose Canyon fee form and blank execution</t>
        </is>
      </c>
    </row>
    <row r="199">
      <c r="A199" t="inlineStr">
        <is>
          <t>SECTION-deep-acquisitions</t>
        </is>
      </c>
      <c r="B199" t="inlineStr">
        <is>
          <t>ACTUALS-CATALOG</t>
        </is>
      </c>
      <c r="C199" t="inlineStr">
        <is>
          <t>[]</t>
        </is>
      </c>
      <c r="D199" t="inlineStr">
        <is>
          <t>current operating-actuals catalog checked October 17, 2026</t>
        </is>
      </c>
    </row>
    <row r="200">
      <c r="A200" t="inlineStr">
        <is>
          <t>SECTION-deep-acquisitions</t>
        </is>
      </c>
      <c r="B200" t="inlineStr">
        <is>
          <t>OPENGOV-API-REPORT-8082</t>
        </is>
      </c>
      <c r="C200" t="inlineStr">
        <is>
          <t>[]</t>
        </is>
      </c>
      <c r="D200" t="inlineStr">
        <is>
          <t>actuals report years 2011–2023</t>
        </is>
      </c>
    </row>
    <row r="201">
      <c r="A201" t="inlineStr">
        <is>
          <t>SECTION-deep-notable-contracts</t>
        </is>
      </c>
      <c r="B201" t="inlineStr">
        <is>
          <t>NR53645063-M08</t>
        </is>
      </c>
      <c r="C201" t="inlineStr">
        <is>
          <t>[2, 4, 18, 43]</t>
        </is>
      </c>
      <c r="D201" t="inlineStr">
        <is>
          <t>member original pp. 2, 4, 18, 43; cap, signatures, site and budget</t>
        </is>
      </c>
    </row>
    <row r="202">
      <c r="A202" t="inlineStr">
        <is>
          <t>SECTION-deep-notable-contracts</t>
        </is>
      </c>
      <c r="B202" t="inlineStr">
        <is>
          <t>NR53645063-M10</t>
        </is>
      </c>
      <c r="C202" t="inlineStr">
        <is>
          <t>[1, 3, 15]</t>
        </is>
      </c>
      <c r="D202" t="inlineStr">
        <is>
          <t>member original pp. 1, 3, 15; FY2025 option</t>
        </is>
      </c>
    </row>
    <row r="203">
      <c r="A203" t="inlineStr">
        <is>
          <t>SECTION-deep-notable-contracts</t>
        </is>
      </c>
      <c r="B203" t="inlineStr">
        <is>
          <t>NR53645063-M09</t>
        </is>
      </c>
      <c r="C203" t="inlineStr">
        <is>
          <t>[1, 2, 3]</t>
        </is>
      </c>
      <c r="D203" t="inlineStr">
        <is>
          <t>member original pp. 1–3; 62-day extension</t>
        </is>
      </c>
    </row>
    <row r="204">
      <c r="A204" t="inlineStr">
        <is>
          <t>SECTION-deep-notable-contracts</t>
        </is>
      </c>
      <c r="B204" t="inlineStr">
        <is>
          <t>NR53645063-M15</t>
        </is>
      </c>
      <c r="C204" t="inlineStr">
        <is>
          <t>[2, 3, 15]</t>
        </is>
      </c>
      <c r="D204" t="inlineStr">
        <is>
          <t>member original pp. 2–3, 15; FY2025 option and six-month budget</t>
        </is>
      </c>
    </row>
    <row r="205">
      <c r="A205" t="inlineStr">
        <is>
          <t>SECTION-deep-notable-contracts</t>
        </is>
      </c>
      <c r="B205" t="inlineStr">
        <is>
          <t>NR53645063-M14</t>
        </is>
      </c>
      <c r="C205" t="inlineStr">
        <is>
          <t>[1, 3, 4, 5, 7]</t>
        </is>
      </c>
      <c r="D205" t="inlineStr">
        <is>
          <t>member original pp. 1, 3–5, 7; revised cap and relocation</t>
        </is>
      </c>
    </row>
    <row r="206">
      <c r="A206" t="inlineStr">
        <is>
          <t>SECTION-deep-notable-contracts</t>
        </is>
      </c>
      <c r="B206" t="inlineStr">
        <is>
          <t>NR53645063-M16</t>
        </is>
      </c>
      <c r="C206" t="inlineStr">
        <is>
          <t>[2, 4, 9]</t>
        </is>
      </c>
      <c r="D206" t="inlineStr">
        <is>
          <t>member original pp. 2, 4, 9; FY2026 cap and cost components</t>
        </is>
      </c>
    </row>
    <row r="207">
      <c r="A207" t="inlineStr">
        <is>
          <t>SECTION-deep-notable-contracts</t>
        </is>
      </c>
      <c r="B207" t="inlineStr">
        <is>
          <t>NR53645063-M45</t>
        </is>
      </c>
      <c r="C207" t="inlineStr">
        <is>
          <t>[2, 4, 44]</t>
        </is>
      </c>
      <c r="D207" t="inlineStr">
        <is>
          <t>member original pp. 2, 4, 44; original cap, signatures and funding</t>
        </is>
      </c>
    </row>
    <row r="208">
      <c r="A208" t="inlineStr">
        <is>
          <t>SECTION-deep-notable-budget</t>
        </is>
      </c>
      <c r="B208" t="inlineStr">
        <is>
          <t>BK08</t>
        </is>
      </c>
      <c r="C208" t="inlineStr">
        <is>
          <t>[2, 54, 55, 56, 57]</t>
        </is>
      </c>
      <c r="D208" t="inlineStr">
        <is>
          <t>original pp. 2, 54–57; unaudited status and HSSD explanation, especially p. 56</t>
        </is>
      </c>
    </row>
    <row r="209">
      <c r="A209" t="inlineStr">
        <is>
          <t>SECTION-deep-notable-budget</t>
        </is>
      </c>
      <c r="B209" t="inlineStr">
        <is>
          <t>SDHC-RACHEL-EXPANSION-2026</t>
        </is>
      </c>
      <c r="C209" t="inlineStr">
        <is>
          <t>[]</t>
        </is>
      </c>
      <c r="D209" t="inlineStr">
        <is>
          <t>August 12, 2026; 160 additional beds and phased move-in</t>
        </is>
      </c>
    </row>
    <row r="210">
      <c r="A210" t="inlineStr">
        <is>
          <t>SECTION-deep-notable-budget</t>
        </is>
      </c>
      <c r="B210" t="inlineStr">
        <is>
          <t>BK08</t>
        </is>
      </c>
      <c r="C210" t="inlineStr">
        <is>
          <t>[2, 55]</t>
        </is>
      </c>
      <c r="D210" t="inlineStr">
        <is>
          <t>original pp. 2, 55; reporting status and platform savings</t>
        </is>
      </c>
    </row>
    <row r="211">
      <c r="A211" t="inlineStr">
        <is>
          <t>SECTION-deep-notable-budget</t>
        </is>
      </c>
      <c r="B211" t="inlineStr">
        <is>
          <t>SDHC-HCR25-011</t>
        </is>
      </c>
      <c r="C211" t="inlineStr">
        <is>
          <t>[1]</t>
        </is>
      </c>
      <c r="D211" t="inlineStr">
        <is>
          <t>original p. 1; initial and expansion plan</t>
        </is>
      </c>
    </row>
    <row r="212">
      <c r="A212" t="inlineStr">
        <is>
          <t>SECTION-deep-notable-budget</t>
        </is>
      </c>
      <c r="B212" t="inlineStr">
        <is>
          <t>EXP-CITY-FY26-Q3</t>
        </is>
      </c>
      <c r="C212" t="inlineStr">
        <is>
          <t>[81]</t>
        </is>
      </c>
      <c r="D212" t="inlineStr">
        <is>
          <t>original p. 81; delay, forecast and June expectation</t>
        </is>
      </c>
    </row>
    <row r="213">
      <c r="A213" t="inlineStr">
        <is>
          <t>SECTION-deep-notable-budget</t>
        </is>
      </c>
      <c r="B213" t="inlineStr">
        <is>
          <t>SDHC-RACHEL-2026-EXPANSION</t>
        </is>
      </c>
      <c r="C213" t="inlineStr">
        <is>
          <t>[]</t>
        </is>
      </c>
      <c r="D213" t="inlineStr">
        <is>
          <t>August 12, 2026 announcement; moving-in timetable</t>
        </is>
      </c>
    </row>
    <row r="214">
      <c r="A214" t="inlineStr">
        <is>
          <t>SECTION-deep-notable-path</t>
        </is>
      </c>
      <c r="B214" t="inlineStr">
        <is>
          <t>NR34425020</t>
        </is>
      </c>
      <c r="C214" t="inlineStr">
        <is>
          <t>[9, 10, 149, 150, 151]</t>
        </is>
      </c>
      <c r="D214" t="inlineStr">
        <is>
          <t>original pp. 9–10, 149–151 / proposal printed pp. 107–109; disclosure requirement and responses</t>
        </is>
      </c>
    </row>
    <row r="215">
      <c r="A215" t="inlineStr">
        <is>
          <t>SECTION-deep-notable-path</t>
        </is>
      </c>
      <c r="B215" t="inlineStr">
        <is>
          <t>NR34425020</t>
        </is>
      </c>
      <c r="C215" t="inlineStr">
        <is>
          <t>[147, 148]</t>
        </is>
      </c>
      <c r="D215" t="inlineStr">
        <is>
          <t>original pp. 147–148 / proposal printed pp. 105–106; separate single-audit summary</t>
        </is>
      </c>
    </row>
    <row r="216">
      <c r="A216" t="inlineStr">
        <is>
          <t>SECTION-deep-additional-conflict</t>
        </is>
      </c>
      <c r="B216" t="inlineStr">
        <is>
          <t>FPPC-NEIL-STIP</t>
        </is>
      </c>
      <c r="C216" t="inlineStr">
        <is>
          <t>[2, 4, 5, 6, 7, 8, 9]</t>
        </is>
      </c>
      <c r="D216" t="inlineStr">
        <is>
          <t>original pp. 2, 4–8; facts, violation and mitigating evidence; Chair line in p. 9 copy is blank</t>
        </is>
      </c>
    </row>
    <row r="217">
      <c r="A217" t="inlineStr">
        <is>
          <t>SECTION-deep-additional-conflict</t>
        </is>
      </c>
      <c r="B217" t="inlineStr">
        <is>
          <t>FPPC-NEIL-APPROVAL</t>
        </is>
      </c>
      <c r="C217" t="inlineStr">
        <is>
          <t>[1, 2]</t>
        </is>
      </c>
      <c r="D217" t="inlineStr">
        <is>
          <t>original pp. 1–2; final February 16 approval, case 22/716</t>
        </is>
      </c>
    </row>
    <row r="218">
      <c r="A218" t="inlineStr">
        <is>
          <t>SECTION-deep-additional-conflict</t>
        </is>
      </c>
      <c r="B218" t="inlineStr">
        <is>
          <t>SDHC-HAR22-026</t>
        </is>
      </c>
      <c r="C218" t="inlineStr">
        <is>
          <t>[2, 3, 4]</t>
        </is>
      </c>
      <c r="D218" t="inlineStr">
        <is>
          <t>original pp. 2–4; civil allegations, allocation, debarments and releases</t>
        </is>
      </c>
    </row>
    <row r="219">
      <c r="A219" t="inlineStr">
        <is>
          <t>SECTION-deep-additional-conflict</t>
        </is>
      </c>
      <c r="B219" t="inlineStr">
        <is>
          <t>FPPC-NEIL-STIP</t>
        </is>
      </c>
      <c r="C219" t="inlineStr">
        <is>
          <t>[2]</t>
        </is>
      </c>
      <c r="D219" t="inlineStr">
        <is>
          <t>original p. 2; civil settlement described as paid</t>
        </is>
      </c>
    </row>
    <row r="220">
      <c r="A220" t="inlineStr">
        <is>
          <t>SECTION-deep-additional-conflict</t>
        </is>
      </c>
      <c r="B220" t="inlineStr">
        <is>
          <t>OCA24-09</t>
        </is>
      </c>
      <c r="C220" t="inlineStr">
        <is>
          <t>[16, 17, 18, 19, 20, 21, 22, 41, 42, 43, 44, 45, 46, 47, 48, 50, 51, 52, 53]</t>
        </is>
      </c>
      <c r="D220" t="inlineStr">
        <is>
          <t>original pp. 16–22, 41–48, 50–53; practices, competing accounts and responses</t>
        </is>
      </c>
    </row>
    <row r="221">
      <c r="A221" t="inlineStr">
        <is>
          <t>SECTION-deep-additional-conflict</t>
        </is>
      </c>
      <c r="B221" t="inlineStr">
        <is>
          <t>OCA-FOLLOWUP-2025-12</t>
        </is>
      </c>
      <c r="C221" t="inlineStr">
        <is>
          <t>[145, 146]</t>
        </is>
      </c>
      <c r="D221" t="inlineStr">
        <is>
          <t>original pp. 145–146; implementation and agreed alternative</t>
        </is>
      </c>
    </row>
    <row r="222">
      <c r="A222" t="inlineStr">
        <is>
          <t>SECTION-deep-additional-contracts</t>
        </is>
      </c>
      <c r="B222" t="inlineStr">
        <is>
          <t>OCA25-02</t>
        </is>
      </c>
      <c r="C222" t="inlineStr">
        <is>
          <t>[4, 10, 11, 36, 40, 41, 43]</t>
        </is>
      </c>
      <c r="D222" t="inlineStr">
        <is>
          <t>original pp. 4, 10–11, 36, 40–41, 43; sample, PO basis, limits and Appendix D</t>
        </is>
      </c>
    </row>
    <row r="223">
      <c r="A223" t="inlineStr">
        <is>
          <t>SECTION-deep-additional-contracts</t>
        </is>
      </c>
      <c r="B223" t="inlineStr">
        <is>
          <t>OCA25-02</t>
        </is>
      </c>
      <c r="C223" t="inlineStr">
        <is>
          <t>[30, 31, 32, 33, 34, 35, 36, 38, 41, 43]</t>
        </is>
      </c>
      <c r="D223" t="inlineStr">
        <is>
          <t>original pp. 30–36, 38, 41, 43; data, integration recommendation and appendix qualification</t>
        </is>
      </c>
    </row>
    <row r="224">
      <c r="A224" t="inlineStr">
        <is>
          <t>SECTION-deep-additional-contracts</t>
        </is>
      </c>
      <c r="B224" t="inlineStr">
        <is>
          <t>BK36</t>
        </is>
      </c>
      <c r="C224" t="inlineStr">
        <is>
          <t>[146, 147, 148]</t>
        </is>
      </c>
      <c r="D224" t="inlineStr">
        <is>
          <t>original pp. 146–148 / printed pp. 142–144; full disposition table and recommendations 1.2–1.4</t>
        </is>
      </c>
    </row>
    <row r="225">
      <c r="A225" t="inlineStr">
        <is>
          <t>SECTION-state-note</t>
        </is>
      </c>
      <c r="B225" t="inlineStr">
        <is>
          <t>HCD26</t>
        </is>
      </c>
      <c r="C225" t="inlineStr">
        <is>
          <t>[]</t>
        </is>
      </c>
      <c r="D225" t="inlineStr">
        <is>
          <t>official ERF program page; outcomes and Reporting &amp; Compliance sections</t>
        </is>
      </c>
    </row>
    <row r="226">
      <c r="A226" t="inlineStr">
        <is>
          <t>SECTION-state-note</t>
        </is>
      </c>
      <c r="B226" t="inlineStr">
        <is>
          <t>HC01</t>
        </is>
      </c>
      <c r="C226" t="inlineStr">
        <is>
          <t>[]</t>
        </is>
      </c>
      <c r="D226" t="inlineStr">
        <is>
          <t>All Active Projects F38:J38; category headers F2:J2</t>
        </is>
      </c>
    </row>
    <row r="227">
      <c r="A227" t="inlineStr">
        <is>
          <t>SECTION-state-note</t>
        </is>
      </c>
      <c r="B227" t="inlineStr">
        <is>
          <t>HC01</t>
        </is>
      </c>
      <c r="C227" t="inlineStr">
        <is>
          <t>[]</t>
        </is>
      </c>
      <c r="D227" t="inlineStr">
        <is>
          <t>ERF 2L (Archived), row 7</t>
        </is>
      </c>
    </row>
    <row r="228">
      <c r="A228" t="inlineStr">
        <is>
          <t>SECTION-state-note</t>
        </is>
      </c>
      <c r="B228" t="inlineStr">
        <is>
          <t>HC02</t>
        </is>
      </c>
      <c r="C228" t="inlineStr">
        <is>
          <t>[]</t>
        </is>
      </c>
      <c r="D228" t="inlineStr">
        <is>
          <t>San Diego — East Village I2:I4; narratives</t>
        </is>
      </c>
    </row>
    <row r="229">
      <c r="A229" t="inlineStr">
        <is>
          <t>SECTION-deep-controls</t>
        </is>
      </c>
      <c r="B229" t="inlineStr">
        <is>
          <t>Docket931908</t>
        </is>
      </c>
      <c r="C229" t="inlineStr">
        <is>
          <t>[1, 2, 3]</t>
        </is>
      </c>
      <c r="D229" t="inlineStr">
        <is>
          <t>original pp. 1–3; six-month budget and April 23, 2024 approval</t>
        </is>
      </c>
    </row>
    <row r="230">
      <c r="A230" t="inlineStr">
        <is>
          <t>SECTION-deep-controls</t>
        </is>
      </c>
      <c r="B230" t="inlineStr">
        <is>
          <t>R-315452</t>
        </is>
      </c>
      <c r="C230" t="inlineStr">
        <is>
          <t>[2, 4]</t>
        </is>
      </c>
      <c r="D230" t="inlineStr">
        <is>
          <t>original pp. 2, 4; both print $487,791</t>
        </is>
      </c>
    </row>
    <row r="231">
      <c r="A231" t="inlineStr">
        <is>
          <t>SECTION-deep-controls</t>
        </is>
      </c>
      <c r="B231" t="inlineStr">
        <is>
          <t>NR41965641</t>
        </is>
      </c>
      <c r="C231" t="inlineStr">
        <is>
          <t>[1]</t>
        </is>
      </c>
      <c r="D231" t="inlineStr">
        <is>
          <t>original p. 1; Second Amendment recital prints $478,791</t>
        </is>
      </c>
    </row>
    <row r="232">
      <c r="A232" t="inlineStr">
        <is>
          <t>SECTION-deep-controls</t>
        </is>
      </c>
      <c r="B232" t="inlineStr">
        <is>
          <t>C64725518</t>
        </is>
      </c>
      <c r="C232" t="inlineStr">
        <is>
          <t>[1]</t>
        </is>
      </c>
      <c r="D232" t="inlineStr">
        <is>
          <t>original p. 1; Third Amendment repeats transposition</t>
        </is>
      </c>
    </row>
    <row r="233">
      <c r="A233" t="inlineStr">
        <is>
          <t>SECTION-deep-controls</t>
        </is>
      </c>
      <c r="B233" t="inlineStr">
        <is>
          <t>NR56369102</t>
        </is>
      </c>
      <c r="C233" t="inlineStr">
        <is>
          <t>[]</t>
        </is>
      </c>
      <c r="D233" t="inlineStr">
        <is>
          <t>RFP Estimate Daily rate!H20,H21,H29,F29,I29; I29=H29*F29</t>
        </is>
      </c>
    </row>
    <row r="234">
      <c r="A234" t="inlineStr">
        <is>
          <t>SECTION-deep-controls</t>
        </is>
      </c>
      <c r="B234" t="inlineStr">
        <is>
          <t>AP-Recovery-10090424-26-L</t>
        </is>
      </c>
      <c r="C234" t="inlineStr">
        <is>
          <t>[1, 2, 3, 12, 13]</t>
        </is>
      </c>
      <c r="D234" t="inlineStr">
        <is>
          <t>original pp. 1–3, 12–13; execution and review/reporting scope</t>
        </is>
      </c>
    </row>
    <row r="235">
      <c r="A235" t="inlineStr">
        <is>
          <t>SECTION-reporting</t>
        </is>
      </c>
      <c r="B235" t="inlineStr">
        <is>
          <t>S01</t>
        </is>
      </c>
      <c r="C235" t="inlineStr">
        <is>
          <t>[44, 45]</t>
        </is>
      </c>
      <c r="D235" t="inlineStr">
        <is>
          <t>original pp. 44–45 / printed pp. 39–40</t>
        </is>
      </c>
    </row>
    <row r="236">
      <c r="A236" t="inlineStr">
        <is>
          <t>SECTION-reporting</t>
        </is>
      </c>
      <c r="B236" t="inlineStr">
        <is>
          <t>S01</t>
        </is>
      </c>
      <c r="C236" t="inlineStr">
        <is>
          <t>[45]</t>
        </is>
      </c>
      <c r="D236" t="inlineStr">
        <is>
          <t>original p. 45 / printed p. 40</t>
        </is>
      </c>
    </row>
    <row r="237">
      <c r="A237" t="inlineStr">
        <is>
          <t>SECTION-reporting</t>
        </is>
      </c>
      <c r="B237" t="inlineStr">
        <is>
          <t>S01</t>
        </is>
      </c>
      <c r="C237" t="inlineStr">
        <is>
          <t>[45]</t>
        </is>
      </c>
      <c r="D237" t="inlineStr">
        <is>
          <t>original p. 45 / printed p. 40</t>
        </is>
      </c>
    </row>
    <row r="238">
      <c r="A238" t="inlineStr">
        <is>
          <t>SECTION-reporting</t>
        </is>
      </c>
      <c r="B238" t="inlineStr">
        <is>
          <t>V15</t>
        </is>
      </c>
      <c r="C238" t="inlineStr">
        <is>
          <t>[25, 26, 27]</t>
        </is>
      </c>
      <c r="D238" t="inlineStr">
        <is>
          <t>original pp. 25–27; placement/enforcement conditions</t>
        </is>
      </c>
    </row>
    <row r="239">
      <c r="A239" t="inlineStr">
        <is>
          <t>SECTION-deep-kpis</t>
        </is>
      </c>
      <c r="B239" t="inlineStr">
        <is>
          <t>OCA26-03</t>
        </is>
      </c>
      <c r="C239" t="inlineStr">
        <is>
          <t>[3, 4, 14, 19, 20]</t>
        </is>
      </c>
      <c r="D239" t="inlineStr">
        <is>
          <t>original pp. 3–4, 14, 19–20 / printed pp. 9, 14–15 for detailed findings</t>
        </is>
      </c>
    </row>
    <row r="240">
      <c r="A240" t="inlineStr">
        <is>
          <t>SECTION-deep-kpis</t>
        </is>
      </c>
      <c r="B240" t="inlineStr">
        <is>
          <t>CP00002-CURRENT</t>
        </is>
      </c>
      <c r="C240" t="inlineStr">
        <is>
          <t>[6, 11, 15]</t>
        </is>
      </c>
      <c r="D240" t="inlineStr">
        <is>
          <t>effective July 11, 2022; original pp. 6, 11, 15</t>
        </is>
      </c>
    </row>
    <row r="241">
      <c r="A241" t="inlineStr">
        <is>
          <t>SECTION-deep-kpis</t>
        </is>
      </c>
      <c r="B241" t="inlineStr">
        <is>
          <t>BK36</t>
        </is>
      </c>
      <c r="C241" t="inlineStr">
        <is>
          <t>[197, 198, 199, 200, 201, 202, 203]</t>
        </is>
      </c>
      <c r="D241" t="inlineStr">
        <is>
          <t>original pp. 197–203 / printed pp. 193–199; OCA-26-03 follow-up</t>
        </is>
      </c>
    </row>
    <row r="242">
      <c r="A242" t="inlineStr">
        <is>
          <t>SECTION-control-records</t>
        </is>
      </c>
      <c r="B242" t="inlineStr">
        <is>
          <t>C63347471</t>
        </is>
      </c>
      <c r="C242" t="inlineStr">
        <is>
          <t>[1, 2, 3, 4, 5, 6, 7, 8, 9, 10, 11, 12, 13, 14, 15, 16, 17, 18, 19, 20, 21, 22, 23]</t>
        </is>
      </c>
      <c r="D242" t="inlineStr">
        <is>
          <t>original pp. 1–23; released row export</t>
        </is>
      </c>
    </row>
    <row r="243">
      <c r="A243" t="inlineStr">
        <is>
          <t>SECTION-control-records</t>
        </is>
      </c>
      <c r="B243" t="inlineStr">
        <is>
          <t>C63748796</t>
        </is>
      </c>
      <c r="C243" t="inlineStr">
        <is>
          <t>[1]</t>
        </is>
      </c>
      <c r="D243" t="inlineStr">
        <is>
          <t>original p. 1; April summary and footnote 4</t>
        </is>
      </c>
    </row>
    <row r="244">
      <c r="A244" t="inlineStr">
        <is>
          <t>SECTION-deep-public-records</t>
        </is>
      </c>
      <c r="B244" t="inlineStr">
        <is>
          <t>NR34425046</t>
        </is>
      </c>
      <c r="C244" t="inlineStr">
        <is>
          <t>[70, 71, 121, 122, 123, 148]</t>
        </is>
      </c>
      <c r="D244" t="inlineStr">
        <is>
          <t>original pp. 70–71, 121–123, 148; covers and redaction boundaries</t>
        </is>
      </c>
    </row>
    <row r="245">
      <c r="A245" t="inlineStr">
        <is>
          <t>SECTION-deep-public-records</t>
        </is>
      </c>
      <c r="B245" t="inlineStr">
        <is>
          <t>DSDP-FINANCIALS</t>
        </is>
      </c>
      <c r="C245" t="inlineStr">
        <is>
          <t>[]</t>
        </is>
      </c>
      <c r="D245" t="inlineStr">
        <is>
          <t>public financial-statement and return index</t>
        </is>
      </c>
    </row>
    <row r="246">
      <c r="A246" t="inlineStr">
        <is>
          <t>SECTION-deep-public-records</t>
        </is>
      </c>
      <c r="B246" t="inlineStr">
        <is>
          <t>DSDP-AUDIT-2021-2022</t>
        </is>
      </c>
      <c r="C246" t="inlineStr">
        <is>
          <t>[1, 3, 27]</t>
        </is>
      </c>
      <c r="D246" t="inlineStr">
        <is>
          <t>original pp. 1, 3, 27; period, audit opinion, separate unaudited schedule</t>
        </is>
      </c>
    </row>
    <row r="247">
      <c r="A247" t="inlineStr">
        <is>
          <t>SECTION-deep-public-records</t>
        </is>
      </c>
      <c r="B247" t="inlineStr">
        <is>
          <t>DSDP-FOUNDATION-990-FY2022</t>
        </is>
      </c>
      <c r="C247" t="inlineStr">
        <is>
          <t>[]</t>
        </is>
      </c>
      <c r="D247" t="inlineStr">
        <is>
          <t>Form 990 header; tax period and EIN</t>
        </is>
      </c>
    </row>
    <row r="248">
      <c r="A248" t="inlineStr">
        <is>
          <t>SECTION-deep-public-records</t>
        </is>
      </c>
      <c r="B248" t="inlineStr">
        <is>
          <t>REQ25-8927JSON</t>
        </is>
      </c>
      <c r="C248" t="inlineStr">
        <is>
          <t>[]</t>
        </is>
      </c>
      <c r="D248" t="inlineStr">
        <is>
          <t>request text and 21-document attachment inventory</t>
        </is>
      </c>
    </row>
    <row r="249">
      <c r="A249" t="inlineStr">
        <is>
          <t>SECTION-deep-public-records</t>
        </is>
      </c>
      <c r="B249" t="inlineStr">
        <is>
          <t>REQ25-8927TIMELINE</t>
        </is>
      </c>
      <c r="C249" t="inlineStr">
        <is>
          <t>[]</t>
        </is>
      </c>
      <c r="D249" t="inlineStr">
        <is>
          <t>January 13, 2026 closure statement</t>
        </is>
      </c>
    </row>
    <row r="250">
      <c r="A250" t="inlineStr">
        <is>
          <t>SECTION-deep-notable-forms</t>
        </is>
      </c>
      <c r="B250" t="inlineStr">
        <is>
          <t>NR24157936</t>
        </is>
      </c>
      <c r="C250" t="inlineStr">
        <is>
          <t>[1, 8, 9]</t>
        </is>
      </c>
      <c r="D250" t="inlineStr">
        <is>
          <t>original pp. 1, 8–9; City replacements and original deadline</t>
        </is>
      </c>
    </row>
    <row r="251">
      <c r="A251" t="inlineStr">
        <is>
          <t>SECTION-deep-notable-forms</t>
        </is>
      </c>
      <c r="B251" t="inlineStr">
        <is>
          <t>NR24158003</t>
        </is>
      </c>
      <c r="C251" t="inlineStr">
        <is>
          <t>[2, 3]</t>
        </is>
      </c>
      <c r="D251" t="inlineStr">
        <is>
          <t>original pp. 2–3; March 22 City receipt acknowledgment</t>
        </is>
      </c>
    </row>
    <row r="252">
      <c r="A252" t="inlineStr">
        <is>
          <t>SECTION-deep-notable-forms</t>
        </is>
      </c>
      <c r="B252" t="inlineStr">
        <is>
          <t>NR71540521</t>
        </is>
      </c>
      <c r="C252" t="inlineStr">
        <is>
          <t>[]</t>
        </is>
      </c>
      <c r="D252" t="inlineStr">
        <is>
          <t>PRA_26-10308!A2:U138006; all-column native comparison and complete pair ledger in proof</t>
        </is>
      </c>
    </row>
    <row r="253">
      <c r="A253" t="inlineStr">
        <is>
          <t>SECTION-operation</t>
        </is>
      </c>
      <c r="B253" t="inlineStr">
        <is>
          <t>AN17D</t>
        </is>
      </c>
      <c r="C253" t="inlineStr">
        <is>
          <t>[]</t>
        </is>
      </c>
      <c r="D253" t="inlineStr">
        <is>
          <t>report 05301205 / photo identifiers</t>
        </is>
      </c>
    </row>
    <row r="254">
      <c r="A254" t="inlineStr">
        <is>
          <t>SECTION-operation</t>
        </is>
      </c>
      <c r="B254" t="inlineStr">
        <is>
          <t>AN17W</t>
        </is>
      </c>
      <c r="C254" t="inlineStr">
        <is>
          <t>[]</t>
        </is>
      </c>
      <c r="D254" t="inlineStr">
        <is>
          <t>work order 03602342</t>
        </is>
      </c>
    </row>
    <row r="255">
      <c r="A255" t="inlineStr">
        <is>
          <t>SECTION-operation</t>
        </is>
      </c>
      <c r="B255" t="inlineStr">
        <is>
          <t>AN06</t>
        </is>
      </c>
      <c r="C255" t="inlineStr">
        <is>
          <t>[]</t>
        </is>
      </c>
      <c r="D255" t="inlineStr">
        <is>
          <t>Sheet1; July route dates / Location</t>
        </is>
      </c>
    </row>
    <row r="256">
      <c r="A256" t="inlineStr">
        <is>
          <t>SECTION-contract-scope</t>
        </is>
      </c>
      <c r="B256" t="inlineStr">
        <is>
          <t>DR09</t>
        </is>
      </c>
      <c r="C256" t="inlineStr">
        <is>
          <t>[1, 2, 11, 12, 13, 87, 88]</t>
        </is>
      </c>
      <c r="D256" t="inlineStr">
        <is>
          <t>original pp. 1–2, 11–13, 87–88</t>
        </is>
      </c>
    </row>
    <row r="257">
      <c r="A257" t="inlineStr">
        <is>
          <t>SECTION-contract-scope</t>
        </is>
      </c>
      <c r="B257" t="inlineStr">
        <is>
          <t>DR09</t>
        </is>
      </c>
      <c r="C257" t="inlineStr">
        <is>
          <t>[13, 14, 15, 18, 86]</t>
        </is>
      </c>
      <c r="D257" t="inlineStr">
        <is>
          <t>original pp. 13–15, 18, 86</t>
        </is>
      </c>
    </row>
    <row r="258">
      <c r="A258" t="inlineStr">
        <is>
          <t>SECTION-contract-scope</t>
        </is>
      </c>
      <c r="B258" t="inlineStr">
        <is>
          <t>DR09</t>
        </is>
      </c>
      <c r="C258" t="inlineStr">
        <is>
          <t>[19, 86]</t>
        </is>
      </c>
      <c r="D258" t="inlineStr">
        <is>
          <t>original pp. 19, 86; section 3.4 and signed fees</t>
        </is>
      </c>
    </row>
    <row r="259">
      <c r="A259" t="inlineStr">
        <is>
          <t>SECTION-contract-scope</t>
        </is>
      </c>
      <c r="B259" t="inlineStr">
        <is>
          <t>DR12</t>
        </is>
      </c>
      <c r="C259" t="inlineStr">
        <is>
          <t>[1]</t>
        </is>
      </c>
      <c r="D259" t="inlineStr">
        <is>
          <t>original p. 1; current-month column</t>
        </is>
      </c>
    </row>
    <row r="260">
      <c r="A260" t="inlineStr">
        <is>
          <t>SECTION-contract-scope</t>
        </is>
      </c>
      <c r="B260" t="inlineStr">
        <is>
          <t>CDMA01</t>
        </is>
      </c>
      <c r="C260" t="inlineStr">
        <is>
          <t>[1, 3, 4]</t>
        </is>
      </c>
      <c r="D260" t="inlineStr">
        <is>
          <t>original pp. 1, 3–4; maintenance scope, outreach exclusion and reimbursement</t>
        </is>
      </c>
    </row>
    <row r="261">
      <c r="A261" t="inlineStr">
        <is>
          <t>SECTION-coding</t>
        </is>
      </c>
      <c r="B261" t="inlineStr">
        <is>
          <t>BK06</t>
        </is>
      </c>
      <c r="C261" t="inlineStr">
        <is>
          <t>[1, 2, 3, 4, 5]</t>
        </is>
      </c>
      <c r="D261" t="inlineStr">
        <is>
          <t>issued January 21, 2025; original pp. 1–5</t>
        </is>
      </c>
    </row>
    <row r="262">
      <c r="A262" t="inlineStr">
        <is>
          <t>SECTION-coding</t>
        </is>
      </c>
      <c r="B262" t="inlineStr">
        <is>
          <t>BK06</t>
        </is>
      </c>
      <c r="C262" t="inlineStr">
        <is>
          <t>[2, 3, 4, 5, 9, 10]</t>
        </is>
      </c>
      <c r="D262" t="inlineStr">
        <is>
          <t>original pp. 2–5, 9–10</t>
        </is>
      </c>
    </row>
    <row r="263">
      <c r="A263" t="inlineStr">
        <is>
          <t>SECTION-coding</t>
        </is>
      </c>
      <c r="B263" t="inlineStr">
        <is>
          <t>BK06</t>
        </is>
      </c>
      <c r="C263" t="inlineStr">
        <is>
          <t>[1, 2, 3, 4, 5, 9, 10]</t>
        </is>
      </c>
      <c r="D263" t="inlineStr">
        <is>
          <t>original pp. 1–5, 9–10</t>
        </is>
      </c>
    </row>
    <row r="264">
      <c r="A264" t="inlineStr">
        <is>
          <t>SECTION-coding</t>
        </is>
      </c>
      <c r="B264" t="inlineStr">
        <is>
          <t>S01</t>
        </is>
      </c>
      <c r="C264" t="inlineStr">
        <is>
          <t>[42]</t>
        </is>
      </c>
      <c r="D264" t="inlineStr">
        <is>
          <t>original p. 42 / printed p. 37</t>
        </is>
      </c>
    </row>
    <row r="265">
      <c r="A265" t="inlineStr">
        <is>
          <t>SECTION-audit-boundaries</t>
        </is>
      </c>
      <c r="B265" t="inlineStr">
        <is>
          <t>S01</t>
        </is>
      </c>
      <c r="C265" t="inlineStr">
        <is>
          <t>[42]</t>
        </is>
      </c>
      <c r="D265" t="inlineStr">
        <is>
          <t>original p. 42, footnote 15 / printed p. 37</t>
        </is>
      </c>
    </row>
    <row r="266">
      <c r="A266" t="inlineStr">
        <is>
          <t>SECTION-audit-boundaries</t>
        </is>
      </c>
      <c r="B266" t="inlineStr">
        <is>
          <t>S01</t>
        </is>
      </c>
      <c r="C266" t="inlineStr">
        <is>
          <t>[42]</t>
        </is>
      </c>
      <c r="D266" t="inlineStr">
        <is>
          <t>original p. 42, footnote 15 / printed p. 37</t>
        </is>
      </c>
    </row>
    <row r="267">
      <c r="A267" t="inlineStr">
        <is>
          <t>SECTION-audit-boundaries</t>
        </is>
      </c>
      <c r="B267" t="inlineStr">
        <is>
          <t>S01</t>
        </is>
      </c>
      <c r="C267" t="inlineStr">
        <is>
          <t>[39, 42, 43, 44, 45]</t>
        </is>
      </c>
      <c r="D267" t="inlineStr">
        <is>
          <t>original pp. 39, 42–45</t>
        </is>
      </c>
    </row>
    <row r="268">
      <c r="A268" t="inlineStr">
        <is>
          <t>SECTION-audit-boundaries</t>
        </is>
      </c>
      <c r="B268" t="inlineStr">
        <is>
          <t>S01</t>
        </is>
      </c>
      <c r="C268" t="inlineStr">
        <is>
          <t>[58, 60]</t>
        </is>
      </c>
      <c r="D268" t="inlineStr">
        <is>
          <t>original pp. 58, 60 / printed pp. 53, 55</t>
        </is>
      </c>
    </row>
    <row r="269">
      <c r="A269" t="inlineStr">
        <is>
          <t>SECTION-sensitivity</t>
        </is>
      </c>
      <c r="B269" t="inlineStr">
        <is>
          <t>BK22</t>
        </is>
      </c>
      <c r="C269" t="inlineStr">
        <is>
          <t>[1, 2]</t>
        </is>
      </c>
      <c r="D269" t="inlineStr">
        <is>
          <t>original pp. 1–2</t>
        </is>
      </c>
    </row>
    <row r="270">
      <c r="A270" t="inlineStr">
        <is>
          <t>SECTION-sensitivity</t>
        </is>
      </c>
      <c r="B270" t="inlineStr">
        <is>
          <t>BK23</t>
        </is>
      </c>
      <c r="C270" t="inlineStr">
        <is>
          <t>[8, 10]</t>
        </is>
      </c>
      <c r="D270" t="inlineStr">
        <is>
          <t>original pp. 8, 10</t>
        </is>
      </c>
    </row>
    <row r="271">
      <c r="A271" t="inlineStr">
        <is>
          <t>SECTION-sensitivity</t>
        </is>
      </c>
      <c r="B271" t="inlineStr">
        <is>
          <t>S08</t>
        </is>
      </c>
      <c r="C271" t="inlineStr">
        <is>
          <t>[5]</t>
        </is>
      </c>
      <c r="D271" t="inlineStr">
        <is>
          <t>original p. 5</t>
        </is>
      </c>
    </row>
    <row r="272">
      <c r="A272" t="inlineStr">
        <is>
          <t>SECTION-sensitivity</t>
        </is>
      </c>
      <c r="B272" t="inlineStr">
        <is>
          <t>BK08</t>
        </is>
      </c>
      <c r="C272" t="inlineStr">
        <is>
          <t>[36, 46]</t>
        </is>
      </c>
      <c r="D272" t="inlineStr">
        <is>
          <t>original pp. 36, 46</t>
        </is>
      </c>
    </row>
    <row r="273">
      <c r="A273" t="inlineStr">
        <is>
          <t>SECTION-sensitivity</t>
        </is>
      </c>
      <c r="B273" t="inlineStr">
        <is>
          <t>S01</t>
        </is>
      </c>
      <c r="C273" t="inlineStr">
        <is>
          <t>[48, 49, 50, 51, 52]</t>
        </is>
      </c>
      <c r="D273" t="inlineStr">
        <is>
          <t>original pp. 48–52</t>
        </is>
      </c>
    </row>
    <row r="274">
      <c r="A274" t="inlineStr">
        <is>
          <t>SECTION-sensitivity</t>
        </is>
      </c>
      <c r="B274" t="inlineStr">
        <is>
          <t>UCSD26G</t>
        </is>
      </c>
      <c r="C274" t="inlineStr">
        <is>
          <t>[1, 4, 13, 14]</t>
        </is>
      </c>
      <c r="D274" t="inlineStr">
        <is>
          <t>original pp. 1, 4, 13–14</t>
        </is>
      </c>
    </row>
    <row r="275">
      <c r="A275" t="inlineStr">
        <is>
          <t>SECTION-sensitivity</t>
        </is>
      </c>
      <c r="B275" t="inlineStr">
        <is>
          <t>FOUT01</t>
        </is>
      </c>
      <c r="C275" t="inlineStr">
        <is>
          <t>[]</t>
        </is>
      </c>
      <c r="D275" t="inlineStr">
        <is>
          <t>recommendations 8–11; captured October 13, 2026</t>
        </is>
      </c>
    </row>
    <row r="276">
      <c r="A276" t="inlineStr">
        <is>
          <t>SECTION-sensitivity</t>
        </is>
      </c>
      <c r="B276" t="inlineStr">
        <is>
          <t>FOUT02</t>
        </is>
      </c>
      <c r="C276" t="inlineStr">
        <is>
          <t>[]</t>
        </is>
      </c>
      <c r="D276" t="inlineStr">
        <is>
          <t>recommendation 10 responses June/October 2024 and April 2025; assessments</t>
        </is>
      </c>
    </row>
    <row r="277">
      <c r="A277" t="inlineStr">
        <is>
          <t>SECTION-sensitivity</t>
        </is>
      </c>
      <c r="B277" t="inlineStr">
        <is>
          <t>DR18</t>
        </is>
      </c>
      <c r="C277" t="inlineStr">
        <is>
          <t>[1, 3, 43]</t>
        </is>
      </c>
      <c r="D277" t="inlineStr">
        <is>
          <t>physical pp. 1, 3, 43; cumulative period, definitions and round totals</t>
        </is>
      </c>
    </row>
    <row r="278">
      <c r="A278" t="inlineStr">
        <is>
          <t>SECTION-expansion-public-costs</t>
        </is>
      </c>
      <c r="B278" t="inlineStr">
        <is>
          <t>EXP-CITY-FY25-YEAREND</t>
        </is>
      </c>
      <c r="C278" t="inlineStr">
        <is>
          <t>[62, 63, 64, 65]</t>
        </is>
      </c>
      <c r="D278" t="inlineStr">
        <is>
          <t>original pp. 62–65; unaudited HSSD funding-source table</t>
        </is>
      </c>
    </row>
    <row r="279">
      <c r="A279" t="inlineStr">
        <is>
          <t>SECTION-expansion-public-costs</t>
        </is>
      </c>
      <c r="B279" t="inlineStr">
        <is>
          <t>EXP-IBA25-34-YEAREND</t>
        </is>
      </c>
      <c r="C279" t="inlineStr">
        <is>
          <t>[1, 11]</t>
        </is>
      </c>
      <c r="D279" t="inlineStr">
        <is>
          <t>original pp. 1, 11; year-end review</t>
        </is>
      </c>
    </row>
    <row r="280">
      <c r="A280" t="inlineStr">
        <is>
          <t>SECTION-expansion-public-costs</t>
        </is>
      </c>
      <c r="B280" t="inlineStr">
        <is>
          <t>EXP-CITY-FY25-MIDYEAR</t>
        </is>
      </c>
      <c r="C280" t="inlineStr">
        <is>
          <t>[22, 80, 82]</t>
        </is>
      </c>
      <c r="D280" t="inlineStr">
        <is>
          <t>original pp. 22, 80, 82; January 2025 credit account</t>
        </is>
      </c>
    </row>
    <row r="281">
      <c r="A281" t="inlineStr">
        <is>
          <t>SECTION-expansion-public-costs</t>
        </is>
      </c>
      <c r="B281" t="inlineStr">
        <is>
          <t>EXP-CITY-FY25-Q3</t>
        </is>
      </c>
      <c r="C281" t="inlineStr">
        <is>
          <t>[27, 88]</t>
        </is>
      </c>
      <c r="D281" t="inlineStr">
        <is>
          <t>original pp. 27, 88; estimates-to-actuals explanation</t>
        </is>
      </c>
    </row>
    <row r="282">
      <c r="A282" t="inlineStr">
        <is>
          <t>SECTION-expansion-public-costs</t>
        </is>
      </c>
      <c r="B282" t="inlineStr">
        <is>
          <t>EXP-CITY-FY26-MIDYEAR</t>
        </is>
      </c>
      <c r="C282" t="inlineStr">
        <is>
          <t>[81]</t>
        </is>
      </c>
      <c r="D282" t="inlineStr">
        <is>
          <t>original p. 81; FY2025 credit</t>
        </is>
      </c>
    </row>
    <row r="283">
      <c r="A283" t="inlineStr">
        <is>
          <t>SECTION-expansion-public-costs</t>
        </is>
      </c>
      <c r="B283" t="inlineStr">
        <is>
          <t>EXP-CITY-FY26-Q3</t>
        </is>
      </c>
      <c r="C283" t="inlineStr">
        <is>
          <t>[80, 82]</t>
        </is>
      </c>
      <c r="D283" t="inlineStr">
        <is>
          <t>original pp. 80, 82; repeated FY2025 credit</t>
        </is>
      </c>
    </row>
    <row r="284">
      <c r="A284" t="inlineStr">
        <is>
          <t>SECTION-expansion-public-costs</t>
        </is>
      </c>
      <c r="B284" t="inlineStr">
        <is>
          <t>CITY-R316384-SAFE-SLEEPING-GRANT</t>
        </is>
      </c>
      <c r="C284" t="inlineStr">
        <is>
          <t>[1, 2, 3, 4, 6]</t>
        </is>
      </c>
      <c r="D284" t="inlineStr">
        <is>
          <t>original pp. 1–4, 6; authority, conditions and agreement 10071</t>
        </is>
      </c>
    </row>
    <row r="285">
      <c r="A285" t="inlineStr">
        <is>
          <t>SECTION-expansion-public-costs</t>
        </is>
      </c>
      <c r="B285" t="inlineStr">
        <is>
          <t>CITY-FY26-Q1-MONITORING</t>
        </is>
      </c>
      <c r="C285" t="inlineStr">
        <is>
          <t>[52]</t>
        </is>
      </c>
      <c r="D285" t="inlineStr">
        <is>
          <t>original p. 52; HSSD reported reallocation and expenditure</t>
        </is>
      </c>
    </row>
    <row r="286">
      <c r="A286" t="inlineStr">
        <is>
          <t>SECTION-expansion-provider-liabilities</t>
        </is>
      </c>
      <c r="B286" t="inlineStr">
        <is>
          <t>EXP-FJV-VILLAGE-AUDIT-2024</t>
        </is>
      </c>
      <c r="C286" t="inlineStr">
        <is>
          <t>[31, 32]</t>
        </is>
      </c>
      <c r="D286" t="inlineStr">
        <is>
          <t>original pp. 31–32; litigation and subsequent events</t>
        </is>
      </c>
    </row>
    <row r="287">
      <c r="A287" t="inlineStr">
        <is>
          <t>SECTION-expansion-provider-liabilities</t>
        </is>
      </c>
      <c r="B287" t="inlineStr">
        <is>
          <t>EXP-FJV-MANAGEMENT-AUDIT-2024</t>
        </is>
      </c>
      <c r="C287" t="inlineStr">
        <is>
          <t>[39]</t>
        </is>
      </c>
      <c r="D287" t="inlineStr">
        <is>
          <t>original p. 39; settlement allocation</t>
        </is>
      </c>
    </row>
    <row r="288">
      <c r="A288" t="inlineStr">
        <is>
          <t>SECTION-expansion-provider-liabilities</t>
        </is>
      </c>
      <c r="B288" t="inlineStr">
        <is>
          <t>NR53645063-M13</t>
        </is>
      </c>
      <c r="C288" t="inlineStr">
        <is>
          <t>[1]</t>
        </is>
      </c>
      <c r="D288" t="inlineStr">
        <is>
          <t>original p. 1; contracting legal entity</t>
        </is>
      </c>
    </row>
    <row r="289">
      <c r="A289" t="inlineStr">
        <is>
          <t>SECTION-expansion-provider-liabilities</t>
        </is>
      </c>
      <c r="B289" t="inlineStr">
        <is>
          <t>EXP-FJV-DATA-NOTICE-2025</t>
        </is>
      </c>
      <c r="C289" t="inlineStr">
        <is>
          <t>[1]</t>
        </is>
      </c>
      <c r="D289" t="inlineStr">
        <is>
          <t>original p. 1; provider notice</t>
        </is>
      </c>
    </row>
    <row r="290">
      <c r="A290" t="inlineStr">
        <is>
          <t>SECTION-expansion-provider-liabilities</t>
        </is>
      </c>
      <c r="B290" t="inlineStr">
        <is>
          <t>EXP-CAAG-FJV-SAMPLE-NOTICE-2025</t>
        </is>
      </c>
      <c r="C290" t="inlineStr">
        <is>
          <t>[1]</t>
        </is>
      </c>
      <c r="D290" t="inlineStr">
        <is>
          <t>original p. 1; provider-authored sample notice retained by California AG</t>
        </is>
      </c>
    </row>
    <row r="291">
      <c r="A291" t="inlineStr">
        <is>
          <t>SECTION-expansion-provider-liabilities</t>
        </is>
      </c>
      <c r="B291" t="inlineStr">
        <is>
          <t>EXP-FJV-MANAGEMENT-AUDIT-2024</t>
        </is>
      </c>
      <c r="C291" t="inlineStr">
        <is>
          <t>[39]</t>
        </is>
      </c>
      <c r="D291" t="inlineStr">
        <is>
          <t>original p. 39; subsequent-event disclosure</t>
        </is>
      </c>
    </row>
    <row r="292">
      <c r="A292" t="inlineStr">
        <is>
          <t>SECTION-expansion-provider-liabilities</t>
        </is>
      </c>
      <c r="B292" t="inlineStr">
        <is>
          <t>SDHC-FY25-SERVICES-ANNUAL</t>
        </is>
      </c>
      <c r="C292" t="inlineStr">
        <is>
          <t>[]</t>
        </is>
      </c>
      <c r="D292" t="inlineStr">
        <is>
          <t>UNIVERSAL TERMS OF SERVICE; October 1, 2024 effective date</t>
        </is>
      </c>
    </row>
    <row r="293">
      <c r="A293" t="inlineStr">
        <is>
          <t>SECTION-expansion-provider-liabilities</t>
        </is>
      </c>
      <c r="B293" t="inlineStr">
        <is>
          <t>CITY-FY25-ESG-SAGE</t>
        </is>
      </c>
      <c r="C293" t="inlineStr">
        <is>
          <t>[3]</t>
        </is>
      </c>
      <c r="D293" t="inlineStr">
        <is>
          <t>original p. 3; risk-based annual audit and site review narrative</t>
        </is>
      </c>
    </row>
    <row r="294">
      <c r="A294" t="inlineStr">
        <is>
          <t>SECTION-expansion-funding-lineage</t>
        </is>
      </c>
      <c r="B294" t="inlineStr">
        <is>
          <t>EXP-IBA25-06-MIDYEAR</t>
        </is>
      </c>
      <c r="C294" t="inlineStr">
        <is>
          <t>[15, 16, 24]</t>
        </is>
      </c>
      <c r="D294" t="inlineStr">
        <is>
          <t>original pp. 15–16, 24; eligibility, households and funding swap</t>
        </is>
      </c>
    </row>
    <row r="295">
      <c r="A295" t="inlineStr">
        <is>
          <t>SECTION-expansion-funding-lineage</t>
        </is>
      </c>
      <c r="B295" t="inlineStr">
        <is>
          <t>EXP-R315907-PLHA</t>
        </is>
      </c>
      <c r="C295" t="inlineStr">
        <is>
          <t>[1, 2, 3, 4, 5, 6]</t>
        </is>
      </c>
      <c r="D295" t="inlineStr">
        <is>
          <t>original pp. 1–6; permitted-use amendment and final passage</t>
        </is>
      </c>
    </row>
    <row r="296">
      <c r="A296" t="inlineStr">
        <is>
          <t>SECTION-expansion-funding-lineage</t>
        </is>
      </c>
      <c r="B296" t="inlineStr">
        <is>
          <t>EXP-CITY-FY25-MIDYEAR</t>
        </is>
      </c>
      <c r="C296" t="inlineStr">
        <is>
          <t>[80, 82]</t>
        </is>
      </c>
      <c r="D296" t="inlineStr">
        <is>
          <t>original pp. 80, 82; reported swap</t>
        </is>
      </c>
    </row>
    <row r="297">
      <c r="A297" t="inlineStr">
        <is>
          <t>SECTION-expansion-funding-lineage</t>
        </is>
      </c>
      <c r="B297" t="inlineStr">
        <is>
          <t>HCD-HHAP-ANNUAL-XLSX</t>
        </is>
      </c>
      <c r="C297" t="inlineStr">
        <is>
          <t>[]</t>
        </is>
      </c>
      <c r="D297" t="inlineStr">
        <is>
          <t>CA-601 San Diego City!A186:N186; I1:K1 as-of headers</t>
        </is>
      </c>
    </row>
    <row r="298">
      <c r="A298" t="inlineStr">
        <is>
          <t>SECTION-expansion-funding-lineage</t>
        </is>
      </c>
      <c r="B298" t="inlineStr">
        <is>
          <t>SDHC-CENTRAL-PARKING-HCR25-069</t>
        </is>
      </c>
      <c r="C298" t="inlineStr">
        <is>
          <t>[5, 6]</t>
        </is>
      </c>
      <c r="D298" t="inlineStr">
        <is>
          <t>original pp. 5–6; RTFH operator and administration amounts</t>
        </is>
      </c>
    </row>
    <row r="299">
      <c r="A299" t="inlineStr">
        <is>
          <t>SECTION-expansion-funding-lineage</t>
        </is>
      </c>
      <c r="B299" t="inlineStr">
        <is>
          <t>SDHC-GRANT-HCR26-025</t>
        </is>
      </c>
      <c r="C299" t="inlineStr">
        <is>
          <t>[8]</t>
        </is>
      </c>
      <c r="D299" t="inlineStr">
        <is>
          <t>original p. 8; later broader grant-source label</t>
        </is>
      </c>
    </row>
    <row r="300">
      <c r="A300" t="inlineStr">
        <is>
          <t>SECTION-expansion-kettner-decision</t>
        </is>
      </c>
      <c r="B300" t="inlineStr">
        <is>
          <t>EXP-IBA24-18-KETTNER</t>
        </is>
      </c>
      <c r="C300" t="inlineStr">
        <is>
          <t>[1, 2, 3, 4]</t>
        </is>
      </c>
      <c r="D300" t="inlineStr">
        <is>
          <t>original pp. 1–4; lease economics</t>
        </is>
      </c>
    </row>
    <row r="301">
      <c r="A301" t="inlineStr">
        <is>
          <t>SECTION-expansion-kettner-decision</t>
        </is>
      </c>
      <c r="B301" t="inlineStr">
        <is>
          <t>EXP-RC2024-4-KETTNER</t>
        </is>
      </c>
      <c r="C301" t="inlineStr">
        <is>
          <t>[1, 8, 10, 11]</t>
        </is>
      </c>
      <c r="D301" t="inlineStr">
        <is>
          <t>original pp. 1, 8, 10–11; document and review limitations</t>
        </is>
      </c>
    </row>
    <row r="302">
      <c r="A302" t="inlineStr">
        <is>
          <t>SECTION-expansion-kettner-decision</t>
        </is>
      </c>
      <c r="B302" t="inlineStr">
        <is>
          <t>EXP-IBA24-33-Q1</t>
        </is>
      </c>
      <c r="C302" t="inlineStr">
        <is>
          <t>[15]</t>
        </is>
      </c>
      <c r="D302" t="inlineStr">
        <is>
          <t>original p. 15; hold pending decision</t>
        </is>
      </c>
    </row>
    <row r="303">
      <c r="A303" t="inlineStr">
        <is>
          <t>SECTION-expansion-kettner-decision</t>
        </is>
      </c>
      <c r="B303" t="inlineStr">
        <is>
          <t>EXP-KETTNER-WITHDRAWAL-2025</t>
        </is>
      </c>
      <c r="C303" t="inlineStr">
        <is>
          <t>[]</t>
        </is>
      </c>
      <c r="D303" t="inlineStr">
        <is>
          <t>February 7, 2025 mayoral statement</t>
        </is>
      </c>
    </row>
    <row r="304">
      <c r="A304" t="inlineStr">
        <is>
          <t>SECTION-expansion-kettner-decision</t>
        </is>
      </c>
      <c r="B304" t="inlineStr">
        <is>
          <t>EXP-IBA25-06-MIDYEAR</t>
        </is>
      </c>
      <c r="C304" t="inlineStr">
        <is>
          <t>[15, 16]</t>
        </is>
      </c>
      <c r="D304" t="inlineStr">
        <is>
          <t>original pp. 15–16; intended release and MOU</t>
        </is>
      </c>
    </row>
    <row r="305">
      <c r="A305" t="inlineStr">
        <is>
          <t>SECTION-expansion-kettner-decision</t>
        </is>
      </c>
      <c r="B305" t="inlineStr">
        <is>
          <t>EXP-R316166-CDBG</t>
        </is>
      </c>
      <c r="C305" t="inlineStr">
        <is>
          <t>[1, 6, 7, 8, 9, 10]</t>
        </is>
      </c>
      <c r="D305" t="inlineStr">
        <is>
          <t>original pp. 1, 6–10; conditional grant authority</t>
        </is>
      </c>
    </row>
    <row r="306">
      <c r="A306" t="inlineStr">
        <is>
          <t>SECTION-expansion-kettner-decision</t>
        </is>
      </c>
      <c r="B306" t="inlineStr">
        <is>
          <t>EXP-SDHC-GRANT-2025H1</t>
        </is>
      </c>
      <c r="C306" t="inlineStr">
        <is>
          <t>[1, 6]</t>
        </is>
      </c>
      <c r="D306" t="inlineStr">
        <is>
          <t>original pp. 1, 6; later CDBG NOFA award</t>
        </is>
      </c>
    </row>
    <row r="307">
      <c r="A307" t="inlineStr">
        <is>
          <t>SECTION-expansion-kettner-decision</t>
        </is>
      </c>
      <c r="B307" t="inlineStr">
        <is>
          <t>EXP-SDHC-MINUTES-2025-10-10</t>
        </is>
      </c>
      <c r="C307" t="inlineStr">
        <is>
          <t>[1, 3]</t>
        </is>
      </c>
      <c r="D307" t="inlineStr">
        <is>
          <t>original pp. 1, 3; September 29 submission deadline</t>
        </is>
      </c>
    </row>
    <row r="308">
      <c r="A308" t="inlineStr">
        <is>
          <t>SECTION-expansion-kettner-decision</t>
        </is>
      </c>
      <c r="B308" t="inlineStr">
        <is>
          <t>EXP-IBA25-09-SWIFT</t>
        </is>
      </c>
      <c r="C308" t="inlineStr">
        <is>
          <t>[2, 3, 4, 5]</t>
        </is>
      </c>
      <c r="D308" t="inlineStr">
        <is>
          <t>original pp. 2–5; timeliness, staffing and dual-NOFA rules</t>
        </is>
      </c>
    </row>
    <row r="309">
      <c r="A309" t="inlineStr">
        <is>
          <t>SECTION-expansion-kettner-decision</t>
        </is>
      </c>
      <c r="B309" t="inlineStr">
        <is>
          <t>EXP-R316132-SWIFT</t>
        </is>
      </c>
      <c r="C309" t="inlineStr">
        <is>
          <t>[1, 4, 5]</t>
        </is>
      </c>
      <c r="D309" t="inlineStr">
        <is>
          <t>original pp. 1, 4–5; final $4 million Council authority</t>
        </is>
      </c>
    </row>
    <row r="310">
      <c r="A310" t="inlineStr">
        <is>
          <t>SECTION-expansion-kettner-decision</t>
        </is>
      </c>
      <c r="B310" t="inlineStr">
        <is>
          <t>EXP-HC2040-SWIFT</t>
        </is>
      </c>
      <c r="C310" t="inlineStr">
        <is>
          <t>[1]</t>
        </is>
      </c>
      <c r="D310" t="inlineStr">
        <is>
          <t>original p. 1; separate June SDHC approval</t>
        </is>
      </c>
    </row>
    <row r="311">
      <c r="A311" t="inlineStr">
        <is>
          <t>SECTION-expansion-kettner-decision</t>
        </is>
      </c>
      <c r="B311" t="inlineStr">
        <is>
          <t>EXP-HCR25-043-SWIFT</t>
        </is>
      </c>
      <c r="C311" t="inlineStr">
        <is>
          <t>[6]</t>
        </is>
      </c>
      <c r="D311" t="inlineStr">
        <is>
          <t>original p. 6; $4 million plus $4 million funding table</t>
        </is>
      </c>
    </row>
    <row r="312">
      <c r="A312" t="inlineStr">
        <is>
          <t>SECTION-expansion-operating-periods</t>
        </is>
      </c>
      <c r="B312" t="inlineStr">
        <is>
          <t>CITY-FY25-CAPER</t>
        </is>
      </c>
      <c r="C312" t="inlineStr">
        <is>
          <t>[24]</t>
        </is>
      </c>
      <c r="D312" t="inlineStr">
        <is>
          <t>original p. 24; all-year narrative</t>
        </is>
      </c>
    </row>
    <row r="313">
      <c r="A313" t="inlineStr">
        <is>
          <t>SECTION-expansion-operating-periods</t>
        </is>
      </c>
      <c r="B313" t="inlineStr">
        <is>
          <t>CITY-FY25-ESG-SAGE</t>
        </is>
      </c>
      <c r="C313" t="inlineStr">
        <is>
          <t>[3]</t>
        </is>
      </c>
      <c r="D313" t="inlineStr">
        <is>
          <t>original p. 3; repeated narrative</t>
        </is>
      </c>
    </row>
    <row r="314">
      <c r="A314" t="inlineStr">
        <is>
          <t>SECTION-expansion-operating-periods</t>
        </is>
      </c>
      <c r="B314" t="inlineStr">
        <is>
          <t>NR53645063-M06</t>
        </is>
      </c>
      <c r="C314" t="inlineStr">
        <is>
          <t>[1, 2, 4, 5]</t>
        </is>
      </c>
      <c r="D314" t="inlineStr">
        <is>
          <t>original pp. 1–2, 4–5; six-month term and service minimum</t>
        </is>
      </c>
    </row>
    <row r="315">
      <c r="A315" t="inlineStr">
        <is>
          <t>SECTION-expansion-operating-periods</t>
        </is>
      </c>
      <c r="B315" t="inlineStr">
        <is>
          <t>EXP-IBA25-06-MIDYEAR</t>
        </is>
      </c>
      <c r="C315" t="inlineStr">
        <is>
          <t>[15]</t>
        </is>
      </c>
      <c r="D315" t="inlineStr">
        <is>
          <t>original p. 15; December closure</t>
        </is>
      </c>
    </row>
    <row r="316">
      <c r="A316" t="inlineStr">
        <is>
          <t>SECTION-expansion-operating-periods</t>
        </is>
      </c>
      <c r="B316" t="inlineStr">
        <is>
          <t>CITY-FY26-CAPER</t>
        </is>
      </c>
      <c r="C316" t="inlineStr">
        <is>
          <t>[19]</t>
        </is>
      </c>
      <c r="D316" t="inlineStr">
        <is>
          <t>original p. 19; results and higher-needs explanation</t>
        </is>
      </c>
    </row>
    <row r="317">
      <c r="A317" t="inlineStr">
        <is>
          <t>SECTION-expansion-operating-periods</t>
        </is>
      </c>
      <c r="B317" t="inlineStr">
        <is>
          <t>NR53645063-M32</t>
        </is>
      </c>
      <c r="C317" t="inlineStr">
        <is>
          <t>[1, 4, 5, 8]</t>
        </is>
      </c>
      <c r="D317" t="inlineStr">
        <is>
          <t>original pp. 1, 4–5, 8; signed option and outcome table</t>
        </is>
      </c>
    </row>
    <row r="318">
      <c r="A318" t="inlineStr">
        <is>
          <t>SECTION-expansion-operating-periods</t>
        </is>
      </c>
      <c r="B318" t="inlineStr">
        <is>
          <t>HF-RTFH-DIVERSION</t>
        </is>
      </c>
      <c r="C318" t="inlineStr">
        <is>
          <t>[1, 4, 5, 8]</t>
        </is>
      </c>
      <c r="D318" t="inlineStr">
        <is>
          <t>original pp. 1, 4–5, 8; service groups, rates and monitoring</t>
        </is>
      </c>
    </row>
    <row r="319">
      <c r="A319" t="inlineStr">
        <is>
          <t>SECTION-expansion-access-model</t>
        </is>
      </c>
      <c r="B319" t="inlineStr">
        <is>
          <t>SDHC-JUL9-2026-LANDING</t>
        </is>
      </c>
      <c r="C319" t="inlineStr">
        <is>
          <t>[1, 2]</t>
        </is>
      </c>
      <c r="D319" t="inlineStr">
        <is>
          <t>original pp. 1–2; full FY2026 intake and bottom-bunk constraint</t>
        </is>
      </c>
    </row>
    <row r="320">
      <c r="A320" t="inlineStr">
        <is>
          <t>SECTION-expansion-access-model</t>
        </is>
      </c>
      <c r="B320" t="inlineStr">
        <is>
          <t>EXP-SDHC-NAV-SLIDES</t>
        </is>
      </c>
      <c r="C320" t="inlineStr">
        <is>
          <t>[8]</t>
        </is>
      </c>
      <c r="D320" t="inlineStr">
        <is>
          <t>original p. 8; prior-year intake series</t>
        </is>
      </c>
    </row>
    <row r="321">
      <c r="A321" t="inlineStr">
        <is>
          <t>SECTION-expansion-access-model</t>
        </is>
      </c>
      <c r="B321" t="inlineStr">
        <is>
          <t>EXP-HRC-FACTSHEET</t>
        </is>
      </c>
      <c r="C321" t="inlineStr">
        <is>
          <t>[1]</t>
        </is>
      </c>
      <c r="D321" t="inlineStr">
        <is>
          <t>original p. 1; 2023 hours and walk-ins</t>
        </is>
      </c>
    </row>
    <row r="322">
      <c r="A322" t="inlineStr">
        <is>
          <t>SECTION-expansion-access-model</t>
        </is>
      </c>
      <c r="B322" t="inlineStr">
        <is>
          <t>EXP-HRC-23-054</t>
        </is>
      </c>
      <c r="C322" t="inlineStr">
        <is>
          <t>[3, 4]</t>
        </is>
      </c>
      <c r="D322" t="inlineStr">
        <is>
          <t>original pp. 3–4; predecessor model</t>
        </is>
      </c>
    </row>
    <row r="323">
      <c r="A323" t="inlineStr">
        <is>
          <t>SECTION-expansion-access-model</t>
        </is>
      </c>
      <c r="B323" t="inlineStr">
        <is>
          <t>EXP-SDHC-NAV-SLIDES</t>
        </is>
      </c>
      <c r="C323" t="inlineStr">
        <is>
          <t>[9, 10, 11, 13]</t>
        </is>
      </c>
      <c r="D323" t="inlineStr">
        <is>
          <t>original pp. 9–11, 13; Hub staffing, walk-in and other routes</t>
        </is>
      </c>
    </row>
    <row r="324">
      <c r="A324" t="inlineStr">
        <is>
          <t>SECTION-expansion-access-model</t>
        </is>
      </c>
      <c r="B324" t="inlineStr">
        <is>
          <t>HF-SHELTER-READY</t>
        </is>
      </c>
      <c r="C324" t="inlineStr">
        <is>
          <t>[1, 2, 3]</t>
        </is>
      </c>
      <c r="D324" t="inlineStr">
        <is>
          <t>original pp. 1–2; launch, pilot, available-bed referrals and regional scope</t>
        </is>
      </c>
    </row>
    <row r="325">
      <c r="A325" t="inlineStr">
        <is>
          <t>SECTION-expansion-usable-capacity</t>
        </is>
      </c>
      <c r="B325" t="inlineStr">
        <is>
          <t>NR53645063-M14</t>
        </is>
      </c>
      <c r="C325" t="inlineStr">
        <is>
          <t>[4, 5]</t>
        </is>
      </c>
      <c r="D325" t="inlineStr">
        <is>
          <t>original pp. 4–5; prior planning minimum</t>
        </is>
      </c>
    </row>
    <row r="326">
      <c r="A326" t="inlineStr">
        <is>
          <t>SECTION-expansion-usable-capacity</t>
        </is>
      </c>
      <c r="B326" t="inlineStr">
        <is>
          <t>NR53645063-M16</t>
        </is>
      </c>
      <c r="C326" t="inlineStr">
        <is>
          <t>[2]</t>
        </is>
      </c>
      <c r="D326" t="inlineStr">
        <is>
          <t>original p. 2; prior FY2026 cap</t>
        </is>
      </c>
    </row>
    <row r="327">
      <c r="A327" t="inlineStr">
        <is>
          <t>SECTION-expansion-usable-capacity</t>
        </is>
      </c>
      <c r="B327" t="inlineStr">
        <is>
          <t>SDHC-HCR26-016-LANDING</t>
        </is>
      </c>
      <c r="C327" t="inlineStr">
        <is>
          <t>[1, 5]</t>
        </is>
      </c>
      <c r="D327" t="inlineStr">
        <is>
          <t>original pp. 1, 5; 112-bed scope and budget</t>
        </is>
      </c>
    </row>
    <row r="328">
      <c r="A328" t="inlineStr">
        <is>
          <t>SECTION-expansion-usable-capacity</t>
        </is>
      </c>
      <c r="B328" t="inlineStr">
        <is>
          <t>SDHC-HCR26-029-LANDING</t>
        </is>
      </c>
      <c r="C328" t="inlineStr">
        <is>
          <t>[1, 3, 5]</t>
        </is>
      </c>
      <c r="D328" t="inlineStr">
        <is>
          <t>original pp. 1, 3, 5; 18 senior transitional beds</t>
        </is>
      </c>
    </row>
    <row r="329">
      <c r="A329" t="inlineStr">
        <is>
          <t>SECTION-expansion-usable-capacity</t>
        </is>
      </c>
      <c r="B329" t="inlineStr">
        <is>
          <t>O46</t>
        </is>
      </c>
      <c r="C329" t="inlineStr">
        <is>
          <t>[1, 2]</t>
        </is>
      </c>
      <c r="D329" t="inlineStr">
        <is>
          <t>original pp. 1–2; May 8 approval</t>
        </is>
      </c>
    </row>
    <row r="330">
      <c r="A330" t="inlineStr">
        <is>
          <t>SECTION-expansion-usable-capacity</t>
        </is>
      </c>
      <c r="B330" t="inlineStr">
        <is>
          <t>CITY-R316588-NEWTON-EMERGENCY</t>
        </is>
      </c>
      <c r="C330" t="inlineStr">
        <is>
          <t>[1]</t>
        </is>
      </c>
      <c r="D330" t="inlineStr">
        <is>
          <t>original p. 1; evacuation and temporary location</t>
        </is>
      </c>
    </row>
    <row r="331">
      <c r="A331" t="inlineStr">
        <is>
          <t>SECTION-expansion-usable-capacity</t>
        </is>
      </c>
      <c r="B331" t="inlineStr">
        <is>
          <t>EXP-CITY-FY26-Q3</t>
        </is>
      </c>
      <c r="C331" t="inlineStr">
        <is>
          <t>[82]</t>
        </is>
      </c>
      <c r="D331" t="inlineStr">
        <is>
          <t>original p. 82; relocation and repair cost</t>
        </is>
      </c>
    </row>
    <row r="332">
      <c r="A332" t="inlineStr">
        <is>
          <t>SECTION-expansion-usable-capacity</t>
        </is>
      </c>
      <c r="B332" t="inlineStr">
        <is>
          <t>SDHC-HCR26-008</t>
        </is>
      </c>
      <c r="C332" t="inlineStr">
        <is>
          <t>[1, 3, 7, 11, 30, 31]</t>
        </is>
      </c>
      <c r="D332" t="inlineStr">
        <is>
          <t>original pp. 1, 3, 7, 11, 30–31; program, recommendation and earlier signed lease</t>
        </is>
      </c>
    </row>
    <row r="333">
      <c r="A333" t="inlineStr">
        <is>
          <t>SECTION-expansion-usable-capacity</t>
        </is>
      </c>
      <c r="B333" t="inlineStr">
        <is>
          <t>SDHC-JAN16-2026-MINUTES</t>
        </is>
      </c>
      <c r="C333" t="inlineStr">
        <is>
          <t>[3, 4]</t>
        </is>
      </c>
      <c r="D333" t="inlineStr">
        <is>
          <t>original pp. 3–4; extension vote</t>
        </is>
      </c>
    </row>
    <row r="334">
      <c r="A334" t="inlineStr">
        <is>
          <t>SECTION-expansion-fire-closeout</t>
        </is>
      </c>
      <c r="B334" t="inlineStr">
        <is>
          <t>NR53761990</t>
        </is>
      </c>
      <c r="C334" t="inlineStr">
        <is>
          <t>[1, 3]</t>
        </is>
      </c>
      <c r="D334" t="inlineStr">
        <is>
          <t>original pp. 1, 3; September 3 notice</t>
        </is>
      </c>
    </row>
    <row r="335">
      <c r="A335" t="inlineStr">
        <is>
          <t>SECTION-expansion-fire-closeout</t>
        </is>
      </c>
      <c r="B335" t="inlineStr">
        <is>
          <t>NR53761989</t>
        </is>
      </c>
      <c r="C335" t="inlineStr">
        <is>
          <t>[1, 2]</t>
        </is>
      </c>
      <c r="D335" t="inlineStr">
        <is>
          <t>original pp. 1–2; September 25 repair closeout</t>
        </is>
      </c>
    </row>
    <row r="336">
      <c r="A336" t="inlineStr">
        <is>
          <t>SECTION-expansion-fire-closeout</t>
        </is>
      </c>
      <c r="B336" t="inlineStr">
        <is>
          <t>NR53761992</t>
        </is>
      </c>
      <c r="C336" t="inlineStr">
        <is>
          <t>[1, 3]</t>
        </is>
      </c>
      <c r="D336" t="inlineStr">
        <is>
          <t>original pp. 1, 3; April 4 initial notice</t>
        </is>
      </c>
    </row>
    <row r="337">
      <c r="A337" t="inlineStr">
        <is>
          <t>SECTION-expansion-fire-closeout</t>
        </is>
      </c>
      <c r="B337" t="inlineStr">
        <is>
          <t>NR53761991</t>
        </is>
      </c>
      <c r="C337" t="inlineStr">
        <is>
          <t>[1, 3]</t>
        </is>
      </c>
      <c r="D337" t="inlineStr">
        <is>
          <t>original pp. 1, 3; May 20 second notice and TCE details</t>
        </is>
      </c>
    </row>
    <row r="338">
      <c r="A338" t="inlineStr">
        <is>
          <t>SECTION-expansion-fire-closeout</t>
        </is>
      </c>
      <c r="B338" t="inlineStr">
        <is>
          <t>CITY-FY24-CAPER-IDIS</t>
        </is>
      </c>
      <c r="C338" t="inlineStr">
        <is>
          <t>[72, 73]</t>
        </is>
      </c>
      <c r="D338" t="inlineStr">
        <is>
          <t>original pp. 72–73 (printed PR03 pp. 68–69); activity 7502 capital closeout</t>
        </is>
      </c>
    </row>
    <row r="339">
      <c r="A339" t="inlineStr">
        <is>
          <t>SECTION-expansion-monitoring-receipt</t>
        </is>
      </c>
      <c r="B339" t="inlineStr">
        <is>
          <t>NR24157946</t>
        </is>
      </c>
      <c r="C339" t="inlineStr">
        <is>
          <t>[1, 2, 3, 4]</t>
        </is>
      </c>
      <c r="D339" t="inlineStr">
        <is>
          <t>original pp. 1–4; completion subject and City requests</t>
        </is>
      </c>
    </row>
    <row r="340">
      <c r="A340" t="inlineStr">
        <is>
          <t>SECTION-expansion-monitoring-receipt</t>
        </is>
      </c>
      <c r="B340" t="inlineStr">
        <is>
          <t>NR24157945</t>
        </is>
      </c>
      <c r="C340" t="inlineStr">
        <is>
          <t>[1, 2, 3]</t>
        </is>
      </c>
      <c r="D340" t="inlineStr">
        <is>
          <t>original pp. 1–3; competing transmission and receipt accounts</t>
        </is>
      </c>
    </row>
    <row r="341">
      <c r="A341" t="inlineStr">
        <is>
          <t>SECTION-expansion-monitoring-receipt</t>
        </is>
      </c>
      <c r="B341" t="inlineStr">
        <is>
          <t>NR24158001</t>
        </is>
      </c>
      <c r="C341" t="inlineStr">
        <is>
          <t>[1, 2, 3]</t>
        </is>
      </c>
      <c r="D341" t="inlineStr">
        <is>
          <t>original pp. 1–3; March 22 acknowledgment and partial-photo clarification</t>
        </is>
      </c>
    </row>
    <row r="342">
      <c r="A342" t="inlineStr">
        <is>
          <t>SECTION-expansion-monitoring-receipt</t>
        </is>
      </c>
      <c r="B342" t="inlineStr">
        <is>
          <t>NR24158002</t>
        </is>
      </c>
      <c r="C342" t="inlineStr">
        <is>
          <t>[1, 2]</t>
        </is>
      </c>
      <c r="D342" t="inlineStr">
        <is>
          <t>original pp. 1–2; provider’s March 21 before/during-photo transmittal</t>
        </is>
      </c>
    </row>
    <row r="343">
      <c r="A343" t="inlineStr">
        <is>
          <t>SECTION-duties</t>
        </is>
      </c>
      <c r="B343" t="inlineStr">
        <is>
          <t>S01</t>
        </is>
      </c>
      <c r="C343" t="inlineStr">
        <is>
          <t>[10, 39, 43]</t>
        </is>
      </c>
      <c r="D343" t="inlineStr">
        <is>
          <t>original pp. 10, 39, 43 / printed pp. 5, 34, 38</t>
        </is>
      </c>
    </row>
    <row r="344">
      <c r="A344" t="inlineStr">
        <is>
          <t>SECTION-duties</t>
        </is>
      </c>
      <c r="B344" t="inlineStr">
        <is>
          <t>V15</t>
        </is>
      </c>
      <c r="C344" t="inlineStr">
        <is>
          <t>[27]</t>
        </is>
      </c>
      <c r="D344" t="inlineStr">
        <is>
          <t>original p. 27; abatement roles</t>
        </is>
      </c>
    </row>
    <row r="345">
      <c r="A345" t="inlineStr">
        <is>
          <t>SECTION-duties</t>
        </is>
      </c>
      <c r="B345" t="inlineStr">
        <is>
          <t>V15</t>
        </is>
      </c>
      <c r="C345" t="inlineStr">
        <is>
          <t>[21]</t>
        </is>
      </c>
      <c r="D345" t="inlineStr">
        <is>
          <t>original p. 21; NPT Sergeant duties</t>
        </is>
      </c>
    </row>
    <row r="346">
      <c r="A346" t="inlineStr">
        <is>
          <t>SECTION-duties</t>
        </is>
      </c>
      <c r="B346" t="inlineStr">
        <is>
          <t>V15</t>
        </is>
      </c>
      <c r="C346" t="inlineStr">
        <is>
          <t>[18, 19, 25, 26, 27]</t>
        </is>
      </c>
      <c r="D346" t="inlineStr">
        <is>
          <t>original pp. 18–19, 25–27</t>
        </is>
      </c>
    </row>
    <row r="347">
      <c r="A347" t="inlineStr">
        <is>
          <t>SECTION-duties</t>
        </is>
      </c>
      <c r="B347" t="inlineStr">
        <is>
          <t>S03</t>
        </is>
      </c>
      <c r="C347" t="inlineStr">
        <is>
          <t>[61]</t>
        </is>
      </c>
      <c r="D347" t="inlineStr">
        <is>
          <t>original p. 61; HOT partnership</t>
        </is>
      </c>
    </row>
    <row r="348">
      <c r="A348" t="inlineStr">
        <is>
          <t>SECTION-finance</t>
        </is>
      </c>
      <c r="B348" t="inlineStr">
        <is>
          <t>FPB02</t>
        </is>
      </c>
      <c r="C348" t="inlineStr">
        <is>
          <t>[4, 5, 7]</t>
        </is>
      </c>
      <c r="D348" t="inlineStr">
        <is>
          <t>original pp. 4–5, 7</t>
        </is>
      </c>
    </row>
    <row r="349">
      <c r="A349" t="inlineStr">
        <is>
          <t>SECTION-gates</t>
        </is>
      </c>
      <c r="B349" t="inlineStr">
        <is>
          <t>CHAR01</t>
        </is>
      </c>
      <c r="C349" t="inlineStr">
        <is>
          <t>[1, 2, 3, 5]</t>
        </is>
      </c>
      <c r="D349" t="inlineStr">
        <is>
          <t>original pp. 1–3, 5; sections 69–70, 72–73</t>
        </is>
      </c>
    </row>
    <row r="350">
      <c r="A350" t="inlineStr">
        <is>
          <t>SECTION-deep-coverage</t>
        </is>
      </c>
      <c r="B350" t="inlineStr">
        <is>
          <t>NR35389110</t>
        </is>
      </c>
      <c r="C350" t="inlineStr">
        <is>
          <t>[5]</t>
        </is>
      </c>
      <c r="D350" t="inlineStr">
        <is>
          <t>original p. 5, section 3.2.2; SDHC participation in regularly scheduled City JHAT reviews</t>
        </is>
      </c>
    </row>
    <row r="351">
      <c r="A351" t="inlineStr">
        <is>
          <t>SECTION-deep-coverage</t>
        </is>
      </c>
      <c r="B351" t="inlineStr">
        <is>
          <t>NR57670753</t>
        </is>
      </c>
      <c r="C351" t="inlineStr">
        <is>
          <t>[3]</t>
        </is>
      </c>
      <c r="D351" t="inlineStr">
        <is>
          <t>original p. 3; attributed August 2024 JHAT inspection narrative</t>
        </is>
      </c>
    </row>
    <row r="352">
      <c r="A352" t="inlineStr">
        <is>
          <t>SECTION-deep-coverage</t>
        </is>
      </c>
      <c r="B352" t="inlineStr">
        <is>
          <t>NR57670451</t>
        </is>
      </c>
      <c r="C352" t="inlineStr">
        <is>
          <t>[1, 2]</t>
        </is>
      </c>
      <c r="D352" t="inlineStr">
        <is>
          <t>original pp. 1–2; project 1535 and three served, zero exits</t>
        </is>
      </c>
    </row>
    <row r="353">
      <c r="A353" t="inlineStr">
        <is>
          <t>SECTION-staffing</t>
        </is>
      </c>
      <c r="B353" t="inlineStr">
        <is>
          <t>BK23</t>
        </is>
      </c>
      <c r="C353" t="inlineStr">
        <is>
          <t>[1, 10]</t>
        </is>
      </c>
      <c r="D353" t="inlineStr">
        <is>
          <t>original pp. 1, 10; presentation date and total compensation</t>
        </is>
      </c>
    </row>
    <row r="354">
      <c r="A354" t="inlineStr">
        <is>
          <t>SECTION-staffing</t>
        </is>
      </c>
      <c r="B354" t="inlineStr">
        <is>
          <t>GID26</t>
        </is>
      </c>
      <c r="C354" t="inlineStr">
        <is>
          <t>[]</t>
        </is>
      </c>
      <c r="D354" t="inlineStr">
        <is>
          <t>FY2026 request aggregate and method; reports, not people</t>
        </is>
      </c>
    </row>
    <row r="355">
      <c r="A355" t="inlineStr">
        <is>
          <t>SECTION-privacy</t>
        </is>
      </c>
      <c r="B355" t="inlineStr">
        <is>
          <t>DR01</t>
        </is>
      </c>
      <c r="C355" t="inlineStr">
        <is>
          <t>[1, 3, 4]</t>
        </is>
      </c>
      <c r="D355" t="inlineStr">
        <is>
          <t>original pp. 1, 3–4; lead roles, access and law-enforcement restriction</t>
        </is>
      </c>
    </row>
    <row r="356">
      <c r="A356" t="inlineStr">
        <is>
          <t>SECTION-gaps-continued</t>
        </is>
      </c>
      <c r="B356" t="inlineStr">
        <is>
          <t>BK08</t>
        </is>
      </c>
      <c r="C356" t="inlineStr">
        <is>
          <t>[55, 56, 57]</t>
        </is>
      </c>
      <c r="D356" t="inlineStr">
        <is>
          <t>original pp. 55–57</t>
        </is>
      </c>
    </row>
  </sheetData>
  <autoFilter ref="A1:D3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110" customWidth="1" min="3" max="3"/>
    <col width="70" customWidth="1" min="4" max="4"/>
    <col width="65" customWidth="1" min="5" max="5"/>
    <col width="110" customWidth="1" min="6" max="6"/>
  </cols>
  <sheetData>
    <row r="1" ht="30" customHeight="1">
      <c r="A1" t="inlineStr">
        <is>
          <t>Source ID</t>
        </is>
      </c>
      <c r="B1" t="inlineStr">
        <is>
          <t>Title</t>
        </is>
      </c>
      <c r="C1" t="inlineStr">
        <is>
          <t>Public original</t>
        </is>
      </c>
      <c r="D1" t="inlineStr">
        <is>
          <t>Original SHA256</t>
        </is>
      </c>
      <c r="E1" t="inlineStr">
        <is>
          <t>Preserved copy</t>
        </is>
      </c>
    </row>
    <row r="2" ht="71.25" customHeight="1">
      <c r="A2" t="inlineStr">
        <is>
          <t>FPB02</t>
        </is>
      </c>
      <c r="B2" t="inlineStr">
        <is>
          <t>IBA26-19 REV FY2027 Homelessness Programs and Funding</t>
        </is>
      </c>
      <c r="C2" t="inlineStr">
        <is>
          <t>https://www.sandiego.gov/sites/default/files/2026-09/26-19-fy-2027-homelessness-programs-and-funding_rev.pdf</t>
        </is>
      </c>
      <c r="D2" t="inlineStr">
        <is>
          <t>08555a64852d27c8871a8ff3a94fb1d73870fd206cf40dcba91e29697f6a772a</t>
        </is>
      </c>
      <c r="E2" t="inlineStr">
        <is>
          <t>sources/FPB02-excerpt.pdf</t>
        </is>
      </c>
    </row>
    <row r="3" ht="180" customHeight="1">
      <c r="A3" t="inlineStr">
        <is>
          <t>S01</t>
        </is>
      </c>
      <c r="B3" t="inlineStr">
        <is>
          <t>City Auditor, Performance Audit of the City’s Response to Homeless Encampments, 26-07, April 2026</t>
        </is>
      </c>
      <c r="C3" t="inlineStr">
        <is>
          <t>https://www.sandiego.gov/sites/default/files/2026-04/performance-audit-of-the-city-s-response-to-homeless-encampments-since-the-unsafe-camping-ordinance.pdf</t>
        </is>
      </c>
      <c r="D3" t="inlineStr">
        <is>
          <t>f1380ba3cc650087bc307e3434ce160c8903b3fb8bc6155fefdc7a0814142759</t>
        </is>
      </c>
      <c r="E3" t="inlineStr">
        <is>
          <t>sources/S01-excerpt.pdf</t>
        </is>
      </c>
    </row>
    <row r="4" ht="34" customHeight="1">
      <c r="A4" t="inlineStr">
        <is>
          <t>S03</t>
        </is>
      </c>
      <c r="B4" t="inlineStr">
        <is>
          <t>Independent Budget Analyst, Analysis of Police FY2026 Budget, report 26-09</t>
        </is>
      </c>
      <c r="C4" t="inlineStr">
        <is>
          <t>https://www.sandiego.gov/sites/default/files/2026-03/26-09-analysis-of-the-police-department-s-fiscal-year-2026-budget.pdf</t>
        </is>
      </c>
      <c r="D4" t="inlineStr">
        <is>
          <t>2192c3580131731f5625ebe2caa73171f1289cca49e23c0042fa0493412576d5</t>
        </is>
      </c>
      <c r="E4" t="inlineStr">
        <is>
          <t>sources/S03-excerpt.pdf</t>
        </is>
      </c>
    </row>
    <row r="5" ht="46.25" customHeight="1">
      <c r="A5" t="inlineStr">
        <is>
          <t>O46</t>
        </is>
      </c>
      <c r="B5" t="inlineStr">
        <is>
          <t>SDHC meeting minutes, May 8, 2026: unique shelter demand</t>
        </is>
      </c>
      <c r="C5" t="inlineStr">
        <is>
          <t>https://sdhc.org/wp-content/uploads/2026/05/5-8-2026-SDHC-Regular-Meeting-Minutes-final.pdf</t>
        </is>
      </c>
      <c r="D5" t="inlineStr">
        <is>
          <t>7c59b6d434e8e69e4f8b2f3148e1d5931b7d4a440ebc54cc427069a78b45c98c</t>
        </is>
      </c>
      <c r="E5" t="inlineStr">
        <is>
          <t>sources/O46-excerpt.pdf</t>
        </is>
      </c>
    </row>
    <row r="6" ht="97.75" customHeight="1">
      <c r="A6" t="inlineStr">
        <is>
          <t>BK08</t>
        </is>
      </c>
      <c r="B6" t="inlineStr">
        <is>
          <t>FY2026 Year-End Financial Performance Report</t>
        </is>
      </c>
      <c r="C6" t="inlineStr">
        <is>
          <t>https://www.sandiego.gov/sites/default/files/2026-10/fy2026-year-end-financial-performance-report.pdf</t>
        </is>
      </c>
      <c r="D6" t="inlineStr">
        <is>
          <t>ed66ded0c09670c5e0dd573641ce148f9e5c9fd9090d9e3dc400080e518ee720</t>
        </is>
      </c>
      <c r="E6" t="inlineStr">
        <is>
          <t>sources/BK08-excerpt.pdf</t>
        </is>
      </c>
    </row>
    <row r="7" ht="109.5" customHeight="1">
      <c r="A7" t="inlineStr">
        <is>
          <t>UCSD26S</t>
        </is>
      </c>
      <c r="B7" t="inlineStr">
        <is>
          <t>Passing Through and Staying Put: Emergency Shelter Trajectories in San Diego County, 2018–2025, June 2026</t>
        </is>
      </c>
      <c r="C7" t="inlineStr">
        <is>
          <t>https://drive.google.com/uc?export=download&amp;id=1VciWP7kGdHMzFUiLjXwIPEPSWtmLR6lU</t>
        </is>
      </c>
      <c r="D7" t="inlineStr">
        <is>
          <t>3709a2094518b1b57bfc435e5a4bba13356ea75f96ec13a09b4f08536527e575</t>
        </is>
      </c>
      <c r="E7" t="inlineStr">
        <is>
          <t>sources/UCSD26S-excerpt.pdf</t>
        </is>
      </c>
    </row>
    <row r="8" ht="34.25" customHeight="1">
      <c r="A8" t="inlineStr">
        <is>
          <t>HC02</t>
        </is>
      </c>
      <c r="B8" t="inlineStr">
        <is>
          <t>HCD 2026 ERF annual report; expenditures through December 31, 2025</t>
        </is>
      </c>
      <c r="C8" t="inlineStr">
        <is>
          <t>https://www.hcd.ca.gov/sites/default/files/docs/grants-and-funding/calich/2026-erf-annual-report.xlsx</t>
        </is>
      </c>
      <c r="D8" t="inlineStr">
        <is>
          <t>78a40c6aa9b4fb73851b76ad189ff07c0681bc6a0944782ffc3df3607f401b9f</t>
        </is>
      </c>
      <c r="E8" t="inlineStr">
        <is>
          <t>sources/HC02.xlsx</t>
        </is>
      </c>
    </row>
    <row r="9" ht="97.75" customHeight="1">
      <c r="A9" t="inlineStr">
        <is>
          <t>V15</t>
        </is>
      </c>
      <c r="B9" t="inlineStr">
        <is>
          <t>SDPD Neighborhood Policing Operations Manual, published May 2026</t>
        </is>
      </c>
      <c r="C9" t="inlineStr">
        <is>
          <t>https://www.sandiego.gov/sites/default/files/2026-05/neighborhood-policing-operations-manual-2026-redacted.pdf</t>
        </is>
      </c>
      <c r="D9" t="inlineStr">
        <is>
          <t>a986ff833c30b32b08d72eb23306e56598c55fa8705f3f58e1bee38eefb23a96</t>
        </is>
      </c>
      <c r="E9" t="inlineStr">
        <is>
          <t>sources/V15-excerpt.pdf</t>
        </is>
      </c>
    </row>
    <row r="10" ht="30" customHeight="1">
      <c r="A10" t="inlineStr">
        <is>
          <t>AN17D</t>
        </is>
      </c>
      <c r="B10" t="inlineStr">
        <is>
          <t>Public Get It Done detail report 5301205</t>
        </is>
      </c>
      <c r="C10" t="inlineStr">
        <is>
          <t>https://getitdone.sandiego.gov/TSWViewReportDetail?Id=500cs00000sCzaBAAS</t>
        </is>
      </c>
      <c r="D10" t="inlineStr">
        <is>
          <t>dbb59ed19c74a9532bcad85188ea9c9178ae49527b2f9531460b2fb83ad0fa02</t>
        </is>
      </c>
    </row>
    <row r="11" ht="30" customHeight="1">
      <c r="A11" t="inlineStr">
        <is>
          <t>AN17W</t>
        </is>
      </c>
      <c r="B11" t="inlineStr">
        <is>
          <t>Public Neighborhood Policing work-order details linked to report05301205</t>
        </is>
      </c>
      <c r="C11" t="inlineStr">
        <is>
          <t>https://getitdone.sandiego.gov/ViewNPDWorkOrders?Id=500cs00000sCzaBAAS</t>
        </is>
      </c>
      <c r="D11" t="inlineStr">
        <is>
          <t>365e32db8d4f9f09b61083f049075c985bab571d37da308727b46ed1c56d43ad</t>
        </is>
      </c>
    </row>
    <row r="12" ht="34.25" customHeight="1">
      <c r="A12" t="inlineStr">
        <is>
          <t>AN06</t>
        </is>
      </c>
      <c r="B12" t="inlineStr">
        <is>
          <t>July2025 Urban Corps City-released edited billing detail</t>
        </is>
      </c>
      <c r="C12" t="inlineStr">
        <is>
          <t>https://sandiego.nextrequest.com/documents/56369054</t>
        </is>
      </c>
      <c r="D12" t="inlineStr">
        <is>
          <t>29f2034e5abef3a8a781ed8b7608ec2baae73510cab40b22e1f20e1975348a5f</t>
        </is>
      </c>
      <c r="E12" t="inlineStr">
        <is>
          <t>sources/AN06.xlsx</t>
        </is>
      </c>
    </row>
    <row r="13" ht="71.25" customHeight="1">
      <c r="A13" t="inlineStr">
        <is>
          <t>CHAR01</t>
        </is>
      </c>
      <c r="B13" t="inlineStr">
        <is>
          <t>San Diego City Charter, Article VII: Finance</t>
        </is>
      </c>
      <c r="C13" t="inlineStr">
        <is>
          <t>https://docs.sandiego.gov/citycharter/Article%20VII.pdf</t>
        </is>
      </c>
      <c r="D13" t="inlineStr">
        <is>
          <t>b5cb16f605d447f7f90f8a7dfb06965ae47d03d84cdb399fadee138efdfba804</t>
        </is>
      </c>
      <c r="E13" t="inlineStr">
        <is>
          <t>sources/CHAR01-excerpt.pdf</t>
        </is>
      </c>
    </row>
    <row r="14" ht="34.25" customHeight="1">
      <c r="A14" t="inlineStr">
        <is>
          <t>HCD26</t>
        </is>
      </c>
      <c r="B14" t="inlineStr">
        <is>
          <t>HCD ERF official program page, browser-extracted visible text</t>
        </is>
      </c>
      <c r="C14" t="inlineStr">
        <is>
          <t>https://www.hcd.ca.gov/funding/erf</t>
        </is>
      </c>
      <c r="D14" t="inlineStr">
        <is>
          <t>af6fef9e6bee9388cc400c7c6973ddbb533f8cd63280f9c1d60c94a1e8f0b2e2</t>
        </is>
      </c>
      <c r="E14" t="inlineStr">
        <is>
          <t>sources/HCD26.txt</t>
        </is>
      </c>
    </row>
    <row r="15" ht="34.25" customHeight="1">
      <c r="A15" t="inlineStr">
        <is>
          <t>HC01</t>
        </is>
      </c>
      <c r="B15" t="inlineStr">
        <is>
          <t>HCD ERF all-rounds encampment projections and status</t>
        </is>
      </c>
      <c r="C15" t="inlineStr">
        <is>
          <t>https://www.hcd.ca.gov/sites/default/files/docs/grants-and-funding/calich/erf-all-rounds-encampment-projections-and-status.xlsx</t>
        </is>
      </c>
      <c r="D15" t="inlineStr">
        <is>
          <t>2092430508f7ec729776d27adc6a629a291f2195669861926ef2a4e10313fb79</t>
        </is>
      </c>
      <c r="E15" t="inlineStr">
        <is>
          <t>sources/HC01.xlsx</t>
        </is>
      </c>
    </row>
    <row r="16" ht="59" customHeight="1">
      <c r="A16" t="inlineStr">
        <is>
          <t>BK23</t>
        </is>
      </c>
      <c r="B16" t="inlineStr">
        <is>
          <t>October 29,2025 SDPD civilianization workload presentation</t>
        </is>
      </c>
      <c r="C16" t="inlineStr">
        <is>
          <t>https://sandiego.hylandcloud.com/211agendaonlinecomm/Documents/ViewDocument/Item%204%20Presentation.pptx.pdf?meetingId=6701&amp;documentType=Agenda&amp;itemId=252142&amp;publishId=1033148&amp;isSection=false</t>
        </is>
      </c>
      <c r="D16" t="inlineStr">
        <is>
          <t>5e68dab0de6486725b7cee4ba483341aa29219193feb93cf67c6594c21607e96</t>
        </is>
      </c>
      <c r="E16" t="inlineStr">
        <is>
          <t>sources/BK23-excerpt.pdf</t>
        </is>
      </c>
    </row>
    <row r="17" ht="34.25" customHeight="1">
      <c r="A17" t="inlineStr">
        <is>
          <t>GID26</t>
        </is>
      </c>
      <c r="B17" t="inlineStr">
        <is>
          <t>Derived aggregate of City Get It Done archive captured October 7, 2026</t>
        </is>
      </c>
      <c r="C17" t="inlineStr">
        <is>
          <t>https://data.sandiego.gov/datasets/get-it-done-reports/</t>
        </is>
      </c>
      <c r="D17" t="inlineStr">
        <is>
          <t>76ae4622b26bccaa7f7bbd5fcc73fb8e8aa59f0ff0bb7c78a4036fe7043a4907</t>
        </is>
      </c>
      <c r="E17" t="inlineStr">
        <is>
          <t>sources/GID26.json</t>
        </is>
      </c>
    </row>
    <row r="18" ht="34.25" customHeight="1">
      <c r="A18" t="inlineStr">
        <is>
          <t>ABNR56369072</t>
        </is>
      </c>
      <c r="B18" t="inlineStr">
        <is>
          <t>Accounts Payable Transaction Detail_Urban Corps RFP 10089850-22-B.xlsx</t>
        </is>
      </c>
      <c r="C18" t="inlineStr">
        <is>
          <t>https://sandiego.nextrequest.com/documents/56369072</t>
        </is>
      </c>
      <c r="D18" t="inlineStr">
        <is>
          <t>429f21ebe0ea485c10e7c361a4b360850b3f65fc2e8016f8108b2590566f32a5</t>
        </is>
      </c>
      <c r="E18" t="inlineStr">
        <is>
          <t>sources/ABNR56369072.xlsx</t>
        </is>
      </c>
    </row>
    <row r="19" ht="180" customHeight="1">
      <c r="A19" t="inlineStr">
        <is>
          <t>BNR56369076</t>
        </is>
      </c>
      <c r="B19" t="inlineStr">
        <is>
          <t>Approved Urban Corps CleanSD invoices, January2023–September2025</t>
        </is>
      </c>
      <c r="C19" t="inlineStr">
        <is>
          <t>https://sandiego.nextrequest.com/documents/56369076</t>
        </is>
      </c>
      <c r="D19" t="inlineStr">
        <is>
          <t>239d1b2306eb6c45b88b6c59d29245d850aabe8c90f7e593ee1c4d4ada22a2aa</t>
        </is>
      </c>
      <c r="E19" t="inlineStr">
        <is>
          <t>sources/BNR56369076-excerpt.pdf</t>
        </is>
      </c>
    </row>
    <row r="20" ht="34.25" customHeight="1">
      <c r="A20" t="inlineStr">
        <is>
          <t>AN02</t>
        </is>
      </c>
      <c r="B20" t="inlineStr">
        <is>
          <t>Urban Corps March2025 invoice detail edited version released by the City</t>
        </is>
      </c>
      <c r="C20" t="inlineStr">
        <is>
          <t>https://sandiego.nextrequest.com/documents/56369058</t>
        </is>
      </c>
      <c r="D20" t="inlineStr">
        <is>
          <t>72b5b0ac7231522a3fd011352ba6d5292b8480132dd1cc3d9556a70362931205</t>
        </is>
      </c>
      <c r="E20" t="inlineStr">
        <is>
          <t>sources/AN02.xlsx</t>
        </is>
      </c>
    </row>
    <row r="21" ht="34.25" customHeight="1">
      <c r="A21" t="inlineStr">
        <is>
          <t>AN04</t>
        </is>
      </c>
      <c r="B21" t="inlineStr">
        <is>
          <t>May2025 Urban Corps City-released edited billing detail</t>
        </is>
      </c>
      <c r="C21" t="inlineStr">
        <is>
          <t>https://sandiego.nextrequest.com/documents/56369063</t>
        </is>
      </c>
      <c r="D21" t="inlineStr">
        <is>
          <t>f43095e5efd891935fcfad73bc2c8144c6cd525342693a6ed5231896edb0831b</t>
        </is>
      </c>
      <c r="E21" t="inlineStr">
        <is>
          <t>sources/AN04.xlsx</t>
        </is>
      </c>
    </row>
    <row r="22" ht="34.25" customHeight="1">
      <c r="A22" t="inlineStr">
        <is>
          <t>AN05</t>
        </is>
      </c>
      <c r="B22" t="inlineStr">
        <is>
          <t>June2025 Urban Corps City-released edited billing detail</t>
        </is>
      </c>
      <c r="C22" t="inlineStr">
        <is>
          <t>https://sandiego.nextrequest.com/documents/56369055</t>
        </is>
      </c>
      <c r="D22" t="inlineStr">
        <is>
          <t>1f9528d0d05111038cb305060856e054cdce996a3a747c51e8df35f37065dd4a</t>
        </is>
      </c>
      <c r="E22" t="inlineStr">
        <is>
          <t>sources/AN05.xlsx</t>
        </is>
      </c>
    </row>
    <row r="23" ht="34.25" customHeight="1">
      <c r="A23" t="inlineStr">
        <is>
          <t>DR13</t>
        </is>
      </c>
      <c r="B23" t="inlineStr">
        <is>
          <t>November 2024 CleanSD invoice and detail, DM edits</t>
        </is>
      </c>
      <c r="C23" t="inlineStr">
        <is>
          <t>https://sandiego.nextrequest.com/documents/56369065</t>
        </is>
      </c>
      <c r="D23" t="inlineStr">
        <is>
          <t>fe4c89c7926a8b8440714da2b0d913ab37ec77bcf26d4cce701d00fa57f73eab</t>
        </is>
      </c>
      <c r="E23" t="inlineStr">
        <is>
          <t>sources/DR13.xlsx</t>
        </is>
      </c>
    </row>
    <row r="24" ht="34.25" customHeight="1">
      <c r="A24" t="inlineStr">
        <is>
          <t>DR14</t>
        </is>
      </c>
      <c r="B24" t="inlineStr">
        <is>
          <t>November 2024 CleanSD invoice and detail, original-labeled release</t>
        </is>
      </c>
      <c r="C24" t="inlineStr">
        <is>
          <t>https://sandiego.nextrequest.com/documents/56369066</t>
        </is>
      </c>
      <c r="D24" t="inlineStr">
        <is>
          <t>a012c82801970310306cac42ef7a2a07c09b2e675fac6f56da91fb53390195fb</t>
        </is>
      </c>
      <c r="E24" t="inlineStr">
        <is>
          <t>sources/DR14.xlsx</t>
        </is>
      </c>
    </row>
    <row r="25" ht="72" customHeight="1">
      <c r="A25" t="inlineStr">
        <is>
          <t>ADC03</t>
        </is>
      </c>
      <c r="B25" t="inlineStr">
        <is>
          <t>HSSDOutreach_APR._07012022to01312024.pdf</t>
        </is>
      </c>
      <c r="C25" t="inlineStr">
        <is>
          <t>https://sandiego.nextrequest.com/documents/31337029</t>
        </is>
      </c>
      <c r="D25" t="inlineStr">
        <is>
          <t>413b2268da8e34b53d0debdd35672abf7deee8012a1ba8e0d1e0604dd01e610d</t>
        </is>
      </c>
      <c r="E25" t="inlineStr">
        <is>
          <t>sources/ADC03-excerpt.pdf</t>
        </is>
      </c>
    </row>
    <row r="26" ht="58.75" customHeight="1">
      <c r="A26" t="inlineStr">
        <is>
          <t>DR01</t>
        </is>
      </c>
      <c r="B26" t="inlineStr">
        <is>
          <t>City of San Diego. (2025, March 14). Memorandum of understanding: Multi-agency LIFT Task Force [Interdepartmental agreement; approved as to form March 14, 2025].</t>
        </is>
      </c>
      <c r="C26" t="inlineStr">
        <is>
          <t>https://sandiego.nextrequest.com/documents/66203381</t>
        </is>
      </c>
      <c r="D26" t="inlineStr">
        <is>
          <t>6d87405c7bac5187ebffc2c1273f0c29b79c659706157da0b51c3cb013f86c46</t>
        </is>
      </c>
      <c r="E26" t="inlineStr">
        <is>
          <t>sources/DR01-excerpt.pdf</t>
        </is>
      </c>
    </row>
    <row r="27" ht="110.5" customHeight="1">
      <c r="A27" t="inlineStr">
        <is>
          <t>DR02</t>
        </is>
      </c>
      <c r="B27" t="inlineStr">
        <is>
          <t>City of San Diego &amp; PATH San Diego. (n.d.). Agreement for coordinated street outreach program services [Executed I-15 corridor agreement; Exhibit A].</t>
        </is>
      </c>
      <c r="C27" t="inlineStr">
        <is>
          <t>https://sandiego.nextrequest.com/documents/35389131</t>
        </is>
      </c>
      <c r="D27" t="inlineStr">
        <is>
          <t>0c9286817d60cb3818c04e1d8d8a8c9e06b1bfa5389844e94ec8435ab472dedc</t>
        </is>
      </c>
      <c r="E27" t="inlineStr">
        <is>
          <t>sources/DR02-excerpt.pdf</t>
        </is>
      </c>
    </row>
    <row r="28" ht="85" customHeight="1">
      <c r="A28" t="inlineStr">
        <is>
          <t>DR03</t>
        </is>
      </c>
      <c r="B28" t="inlineStr">
        <is>
          <t>City of San Diego &amp; Kingdom Causes, Inc. dba City Net. (n.d.). Agreement for coordinated street outreach services [Initial term July 1, 2023–June 30, 2024, with options; Exhibit A].</t>
        </is>
      </c>
      <c r="C28" t="inlineStr">
        <is>
          <t>https://sandiego.nextrequest.com/documents/35389124</t>
        </is>
      </c>
      <c r="D28" t="inlineStr">
        <is>
          <t>8e00bdd5c0afb7dd6a733a73ab3d8dd4a15f2d9c3799d96296fc1b4057d4355f</t>
        </is>
      </c>
      <c r="E28" t="inlineStr">
        <is>
          <t>sources/DR03-excerpt.pdf</t>
        </is>
      </c>
    </row>
    <row r="29" ht="59.5" customHeight="1">
      <c r="A29" t="inlineStr">
        <is>
          <t>DR04</t>
        </is>
      </c>
      <c r="B29" t="inlineStr">
        <is>
          <t>Dreams for Change. (2023, August). Safe sleeping operation manual [City-released copy].</t>
        </is>
      </c>
      <c r="C29" t="inlineStr">
        <is>
          <t>https://sandiego.nextrequest.com/documents/28378291</t>
        </is>
      </c>
      <c r="D29" t="inlineStr">
        <is>
          <t>3a05692b63d2a5fd211f1488d6370671dd29d3c7fe7d797222699d27a0e68a81</t>
        </is>
      </c>
      <c r="E29" t="inlineStr">
        <is>
          <t>sources/DR04-excerpt.pdf</t>
        </is>
      </c>
    </row>
    <row r="30" ht="71.25" customHeight="1">
      <c r="A30" t="inlineStr">
        <is>
          <t>DR11</t>
        </is>
      </c>
      <c r="B30" t="inlineStr">
        <is>
          <t>City of San Diego &amp; San Diego Housing Commission. (n.d.). Memorandum of understanding for the coordinated street outreach program [Initial term November 1, 2020–June 30, 2021, with extension provision].</t>
        </is>
      </c>
      <c r="C30" t="inlineStr">
        <is>
          <t>https://sandiego.nextrequest.com/documents/35389145</t>
        </is>
      </c>
      <c r="D30" t="inlineStr">
        <is>
          <t>fbaf12dd2e2db0f5fb443c880a7562b146d5313cad9cc2e8a9c57170cf3a5e77</t>
        </is>
      </c>
      <c r="E30" t="inlineStr">
        <is>
          <t>sources/DR11-excerpt.pdf</t>
        </is>
      </c>
    </row>
    <row r="31" ht="45.75" customHeight="1">
      <c r="A31" t="inlineStr">
        <is>
          <t>DR10</t>
        </is>
      </c>
      <c r="B31" t="inlineStr">
        <is>
          <t>City of San Diego, Homelessness Strategies and Solutions Department. (2025). PRA 25-4606 responsive records [Redacted provider correspondence; selected June 2025 monitoring exchange].</t>
        </is>
      </c>
      <c r="C31" t="inlineStr">
        <is>
          <t>https://sandiego.nextrequest.com/documents/51280064</t>
        </is>
      </c>
      <c r="D31" t="inlineStr">
        <is>
          <t>17fb8991ca1af851fdc58aad884d684562010992b8971ba5afe2264ef51cdd2e</t>
        </is>
      </c>
    </row>
    <row r="32" ht="36.75" customHeight="1">
      <c r="A32" t="inlineStr">
        <is>
          <t>DR08</t>
        </is>
      </c>
      <c r="B32" t="inlineStr">
        <is>
          <t>City of San Diego, Department of Finance. (2025, June 3). Fiscal year 2026 Budget Review Committee referral responses for May 8, 2025 [Memorandum].</t>
        </is>
      </c>
      <c r="C32" t="inlineStr">
        <is>
          <t>https://www.sandiego.gov/sites/default/files/2025-06/fy26-brc-referral-responses-day4-may-2025.pdf</t>
        </is>
      </c>
      <c r="D32" t="inlineStr">
        <is>
          <t>2ed8daaef9981fb721a12684382b6def845cb256f1efcd15b4c62061cb1fa72c</t>
        </is>
      </c>
      <c r="E32" t="inlineStr">
        <is>
          <t>sources/DR08-excerpt.pdf</t>
        </is>
      </c>
    </row>
    <row r="33" ht="71.5" customHeight="1">
      <c r="A33" t="inlineStr">
        <is>
          <t>DR07</t>
        </is>
      </c>
      <c r="B33" t="inlineStr">
        <is>
          <t>Regional Task Force on Homelessness. (2026, June). Homelessness crisis response system: 2025 data and performance report. San Diego City and County Continuum of Care.</t>
        </is>
      </c>
      <c r="C33" t="inlineStr">
        <is>
          <t>https://www.rtfhsd.org/wp-content/uploads/2026/07/2025-Data-Performance-Report_Email.pdf</t>
        </is>
      </c>
      <c r="D33" t="inlineStr">
        <is>
          <t>f4488ac5485b40b85fc0a3267fff4f67d443fa6bcb90541a7b564fa51b0350c5</t>
        </is>
      </c>
      <c r="E33" t="inlineStr">
        <is>
          <t>sources/DR07-excerpt.pdf</t>
        </is>
      </c>
    </row>
    <row r="34" ht="59" customHeight="1">
      <c r="A34" t="inlineStr">
        <is>
          <t>DR05</t>
        </is>
      </c>
      <c r="B34" t="inlineStr">
        <is>
          <t>City of San Diego, Homelessness Strategies and Solutions Department. (2025, July 16). Combined HUD Annual Performance Report: July 1, 2024–June 30, 2025 [Mixed-project system report; cover template says FY 2024].</t>
        </is>
      </c>
      <c r="C34" t="inlineStr">
        <is>
          <t>https://sandiego.nextrequest.com/documents/65937080</t>
        </is>
      </c>
      <c r="D34" t="inlineStr">
        <is>
          <t>04eca6c4745432376c0d47ba5369485ca835d72378f886a3ab5574c337cd9cd3</t>
        </is>
      </c>
      <c r="E34" t="inlineStr">
        <is>
          <t>sources/DR05-excerpt.pdf</t>
        </is>
      </c>
    </row>
    <row r="35" ht="109.5" customHeight="1">
      <c r="A35" t="inlineStr">
        <is>
          <t>DR06</t>
        </is>
      </c>
      <c r="B35" t="inlineStr">
        <is>
          <t>City of San Diego, Homelessness Strategies and Solutions Department. (2026, February 13). Combined HUD Annual Performance Report: July 1, 2025–January 31, 2026 [Mixed-project system report].</t>
        </is>
      </c>
      <c r="C35" t="inlineStr">
        <is>
          <t>https://sandiego.nextrequest.com/documents/65937081</t>
        </is>
      </c>
      <c r="D35" t="inlineStr">
        <is>
          <t>169270915ccd0a9da58e408ea24ef5b0268567c0d85d2a4b171457eb556136cd</t>
        </is>
      </c>
      <c r="E35" t="inlineStr">
        <is>
          <t>sources/DR06-excerpt.pdf</t>
        </is>
      </c>
    </row>
    <row r="36" ht="46.25" customHeight="1">
      <c r="A36" t="inlineStr">
        <is>
          <t>DR19</t>
        </is>
      </c>
      <c r="B36" t="inlineStr">
        <is>
          <t>SafeParking_FY26.pdf – selected Q5a and Q23c tables through February 28, 2026</t>
        </is>
      </c>
      <c r="C36" t="inlineStr">
        <is>
          <t>https://sandiego.nextrequest.com/documents/62115238</t>
        </is>
      </c>
      <c r="D36" t="inlineStr">
        <is>
          <t>cd71100208419745a326ea8a44e55f1d312eb12f161cfa03c41b83258323ac1d</t>
        </is>
      </c>
      <c r="E36" t="inlineStr">
        <is>
          <t>sources/DR19-excerpt.pdf</t>
        </is>
      </c>
    </row>
    <row r="37" ht="45.25" customHeight="1">
      <c r="A37" t="inlineStr">
        <is>
          <t>DR15</t>
        </is>
      </c>
      <c r="B37" t="inlineStr">
        <is>
          <t>CA System Performance Measures, Statewide and by CoC</t>
        </is>
      </c>
      <c r="C37" t="inlineStr">
        <is>
          <t>https://publish.data.ca.gov/dataset/d3f9ca4d-3e60-434b-9fa3-91ee0befd34d/resource/e02178d9-1d34-4798-9979-f50af9f1742e/download/ca-spms-prior-years-and-last-twelve-months-cy2025.csv</t>
        </is>
      </c>
      <c r="D37" t="inlineStr">
        <is>
          <t>d2cfc0ee93b161d45e5360d9f974d0dc9661d0e5e527f3d03c52091751da268d</t>
        </is>
      </c>
      <c r="E37" t="inlineStr">
        <is>
          <t>sources/DR15.csv</t>
        </is>
      </c>
    </row>
    <row r="38" ht="135.5" customHeight="1">
      <c r="A38" t="inlineStr">
        <is>
          <t>DR17</t>
        </is>
      </c>
      <c r="B38" t="inlineStr">
        <is>
          <t>California System Performance Measures Guide</t>
        </is>
      </c>
      <c r="C38" t="inlineStr">
        <is>
          <t>https://calich.ca.gov/documents/california_system_performance_measures_guide.pdf</t>
        </is>
      </c>
      <c r="D38" t="inlineStr">
        <is>
          <t>bdf812e1c2e3454d14ba6ee3d91bdb4bd0dc36e8fd758ab1f24b5bab5148116d</t>
        </is>
      </c>
      <c r="E38" t="inlineStr">
        <is>
          <t>sources/DR17-excerpt.pdf</t>
        </is>
      </c>
    </row>
    <row r="39" ht="38.75" customHeight="1">
      <c r="A39" t="inlineStr">
        <is>
          <t>DR16</t>
        </is>
      </c>
      <c r="B39" t="inlineStr">
        <is>
          <t>CA System Performance Measures, Statewide and by CoC</t>
        </is>
      </c>
      <c r="C39" t="inlineStr">
        <is>
          <t>https://publish.data.ca.gov/dataset/d3f9ca4d-3e60-434b-9fa3-91ee0befd34d/resource/fd4ff7c8-a54a-4af2-9a13-03a8fdcc9b22/download/ca-spms-data-dictionary.csv</t>
        </is>
      </c>
      <c r="D39" t="inlineStr">
        <is>
          <t>45b99160da08dc029dcfd6977e04cc3c52234445c09e9cb562fed52e1958e2e9</t>
        </is>
      </c>
      <c r="E39" t="inlineStr">
        <is>
          <t>sources/DR16.csv</t>
        </is>
      </c>
    </row>
    <row r="40" ht="33.75" customHeight="1">
      <c r="A40" t="inlineStr">
        <is>
          <t>DR20</t>
        </is>
      </c>
      <c r="B40" t="inlineStr">
        <is>
          <t>2026 Point-in-Time Count, City of San Diego summary</t>
        </is>
      </c>
      <c r="C40" t="inlineStr">
        <is>
          <t>https://www.rtfhsd.org/wp-content/uploads/2026/05/2026-PIT-City-of-San-Diego_Final.pdf</t>
        </is>
      </c>
      <c r="D40" t="inlineStr">
        <is>
          <t>634cca2d3a17c02af4513ae52ed59c2ce016cf108a0cb1528148dd01dc441568</t>
        </is>
      </c>
      <c r="E40" t="inlineStr">
        <is>
          <t>sources/DR20-excerpt.pdf</t>
        </is>
      </c>
    </row>
    <row r="41" ht="174.5" customHeight="1">
      <c r="A41" t="inlineStr">
        <is>
          <t>DR09</t>
        </is>
      </c>
      <c r="B41" t="inlineStr">
        <is>
          <t>City of San Diego &amp; Urban Corps of San Diego County, Inc. (2022). Clean San Diego services: Fully executed contract, RFP 10089850-22-B [Includes Resolution R-314408].</t>
        </is>
      </c>
      <c r="C41" t="inlineStr">
        <is>
          <t>https://sandiego.nextrequest.com/documents/56369073</t>
        </is>
      </c>
      <c r="D41" t="inlineStr">
        <is>
          <t>7d73e44be81290612ec8b5e642f21d33ebcb69cad2f3b42af1fc25ed00889bee</t>
        </is>
      </c>
      <c r="E41" t="inlineStr">
        <is>
          <t>sources/DR09-excerpt.pdf</t>
        </is>
      </c>
    </row>
    <row r="42" ht="34.75" customHeight="1">
      <c r="A42" t="inlineStr">
        <is>
          <t>DR12</t>
        </is>
      </c>
      <c r="B42" t="inlineStr">
        <is>
          <t>City of San Diego, Environmental Services Department. (n.d.). ESD Clean SD summary: May 2023 [Monthly and cumulative operational measures].</t>
        </is>
      </c>
      <c r="C42" t="inlineStr">
        <is>
          <t>https://sandiego.nextrequest.com/documents/23007482</t>
        </is>
      </c>
      <c r="D42" t="inlineStr">
        <is>
          <t>c352fb4d3ae8e0e94219ca20b54fa5596ace2a4a764d1d94c576c028d73a758e</t>
        </is>
      </c>
      <c r="E42" t="inlineStr">
        <is>
          <t>sources/DR12-excerpt.pdf</t>
        </is>
      </c>
    </row>
    <row r="43" ht="46.25" customHeight="1">
      <c r="A43" t="inlineStr">
        <is>
          <t>BK22</t>
        </is>
      </c>
      <c r="B43" t="inlineStr">
        <is>
          <t>October 29,2025 SDPD civilianization workload staff report</t>
        </is>
      </c>
      <c r="C43" t="inlineStr">
        <is>
          <t>https://sandiego.hylandcloud.com/211agendaonlinecomm/Documents/ViewDocument/Staff%20Report.docx.pdf?meetingId=6701&amp;documentType=Agenda&amp;itemId=252142&amp;publishId=1033147&amp;isSection=false</t>
        </is>
      </c>
      <c r="D43" t="inlineStr">
        <is>
          <t>d9a1536effa284d466069e612b1a52651db8eb7c52a997d38491e4990e1f2555</t>
        </is>
      </c>
      <c r="E43" t="inlineStr">
        <is>
          <t>sources/BK22-excerpt.pdf</t>
        </is>
      </c>
    </row>
    <row r="44" ht="33.75" customHeight="1">
      <c r="A44" t="inlineStr">
        <is>
          <t>S08</t>
        </is>
      </c>
      <c r="B44" t="inlineStr">
        <is>
          <t>City FY2027 Adopted Budget: Police</t>
        </is>
      </c>
      <c r="C44" t="inlineStr">
        <is>
          <t>https://www.sandiego.gov/sites/default/files/2026-08/fy27ab_v2police.pdf</t>
        </is>
      </c>
      <c r="D44" t="inlineStr">
        <is>
          <t>fcd3fc8d233c21f4c09a568db0e13b14e5460be4366000e77e03c151c2d6283d</t>
        </is>
      </c>
      <c r="E44" t="inlineStr">
        <is>
          <t>sources/S08-excerpt.pdf</t>
        </is>
      </c>
    </row>
    <row r="45" ht="71.75" customHeight="1">
      <c r="A45" t="inlineStr">
        <is>
          <t>UCSD26G</t>
        </is>
      </c>
      <c r="B45" t="inlineStr">
        <is>
          <t>Recent Accomplishments and the Road Ahead for San Diego County’s Homelessness Services Ecosystem, March 2026</t>
        </is>
      </c>
      <c r="C45" t="inlineStr">
        <is>
          <t>https://homelessnesshub.ucsd.edu/_files/HSEEGovernment.pdf</t>
        </is>
      </c>
      <c r="D45" t="inlineStr">
        <is>
          <t>600d05341d466dfc724a037055ffbd29691e681f80d2c0feb00a6c01af8d3c79</t>
        </is>
      </c>
      <c r="E45" t="inlineStr">
        <is>
          <t>sources/UCSD26G-excerpt.pdf</t>
        </is>
      </c>
    </row>
    <row r="46" ht="34.25" customHeight="1">
      <c r="A46" t="inlineStr">
        <is>
          <t>FOUT01</t>
        </is>
      </c>
      <c r="B46" t="inlineStr">
        <is>
          <t>State Auditor2023-102.2 recommendation tracker</t>
        </is>
      </c>
      <c r="C46" t="inlineStr">
        <is>
          <t>https://information.auditor.ca.gov/reports/recommendations/2023-102.2</t>
        </is>
      </c>
      <c r="D46" t="inlineStr">
        <is>
          <t>4659b44c81f15fcde1300521173fd6dc304f7180dcfad8057edd43f2342b2669</t>
        </is>
      </c>
      <c r="E46" t="inlineStr">
        <is>
          <t>sources/FOUT01.html</t>
        </is>
      </c>
    </row>
    <row r="47" ht="34.25" customHeight="1">
      <c r="A47" t="inlineStr">
        <is>
          <t>FOUT02</t>
        </is>
      </c>
      <c r="B47" t="inlineStr">
        <is>
          <t>California State Auditor, Report 2023-102.2: San Diego responses and Auditor assessments, recommendations 8–11</t>
        </is>
      </c>
      <c r="C47" t="inlineStr">
        <is>
          <t>https://information.auditor.ca.gov/reports/responses/2023-102.2/all</t>
        </is>
      </c>
      <c r="D47" t="inlineStr">
        <is>
          <t>5bf1f725faa39542df1dbf901ec207d706f98315269f085952e450cbb6e68740</t>
        </is>
      </c>
      <c r="E47" t="inlineStr">
        <is>
          <t>sources/FOUT02.html</t>
        </is>
      </c>
    </row>
    <row r="48" ht="59" customHeight="1">
      <c r="A48" t="inlineStr">
        <is>
          <t>DR18</t>
        </is>
      </c>
      <c r="B48" t="inlineStr">
        <is>
          <t>2026 HHAP Annual Report through December 31, 2025 – San Diego</t>
        </is>
      </c>
      <c r="C48" t="inlineStr">
        <is>
          <t>https://sandiego.nextrequest.com/documents/69291725</t>
        </is>
      </c>
      <c r="D48" t="inlineStr">
        <is>
          <t>8b1b9642d658ab5c21ad7f6cabb0205972e7a4c03558fd62aca492599b0f6780</t>
        </is>
      </c>
      <c r="E48" t="inlineStr">
        <is>
          <t>sources/DR18-excerpt.pdf</t>
        </is>
      </c>
    </row>
    <row r="49" ht="109" customHeight="1">
      <c r="A49" t="inlineStr">
        <is>
          <t>BK06</t>
        </is>
      </c>
      <c r="B49" t="inlineStr">
        <is>
          <t>Police internal orders training bulletin March 2025</t>
        </is>
      </c>
      <c r="C49" t="inlineStr">
        <is>
          <t>https://www.sandiego.gov/sites/default/files/2025-03/tb-25-01-updated-internal-orders-for-overtime-reporting-redacted.pdf</t>
        </is>
      </c>
      <c r="D49" t="inlineStr">
        <is>
          <t>818f134fadfe28992ea982fe5224de84dd352d8d55e12a958a4b1f2256ed95cf</t>
        </is>
      </c>
      <c r="E49" t="inlineStr">
        <is>
          <t>sources/BK06-excerpt.pdf</t>
        </is>
      </c>
    </row>
    <row r="50">
      <c r="A50" t="inlineStr">
        <is>
          <t>CDMA01</t>
        </is>
      </c>
      <c r="B50" t="inlineStr">
        <is>
          <t>State of California, Department of Transportation &amp; City of San Diego. (2025). Delegated maintenance agreement, EDMA-25-11-SD-Various-TDC-01 [Executed agreement].</t>
        </is>
      </c>
      <c r="C50" t="inlineStr">
        <is>
          <t>https://sandiego.nextrequest.com/documents/50850918</t>
        </is>
      </c>
      <c r="D50" t="inlineStr">
        <is>
          <t>2b441d5c6596aa5e07082423ee8188f02d7fa389cd5d8a3de430667b130091e3</t>
        </is>
      </c>
      <c r="E50" t="inlineStr">
        <is>
          <t>sources/CDMA01-excerpt.pdf</t>
        </is>
      </c>
    </row>
    <row r="51">
      <c r="A51" t="inlineStr">
        <is>
          <t>C56369069</t>
        </is>
      </c>
      <c r="B51" t="inlineStr">
        <is>
          <t>URBAN CORPS ESD BILLING SEPT  2025 INV NUMBER 25-03004 101725 (005)_nd.xlsx</t>
        </is>
      </c>
      <c r="C51" t="inlineStr">
        <is>
          <t>https://sandiego.nextrequest.com/documents/56369069</t>
        </is>
      </c>
      <c r="D51" t="inlineStr">
        <is>
          <t>1724907448e7db3245960fcbb424aa27bdc90c4246144d79baac5f7a7cdab4f4</t>
        </is>
      </c>
      <c r="E51" t="inlineStr">
        <is>
          <t>sources/C56369069.xlsx</t>
        </is>
      </c>
    </row>
    <row r="52">
      <c r="A52" t="inlineStr">
        <is>
          <t>C56369070</t>
        </is>
      </c>
      <c r="B52" t="inlineStr">
        <is>
          <t>URBAN CORPS ESD BILLING SEPT 2025 INV NUMBER 25-03004 100325.xlsx</t>
        </is>
      </c>
      <c r="C52" t="inlineStr">
        <is>
          <t>https://sandiego.nextrequest.com/documents/56369070</t>
        </is>
      </c>
      <c r="D52" t="inlineStr">
        <is>
          <t>51a21f1f9c0496a29016a2e619fbc893592cb115f404af411de756501f74cd5a</t>
        </is>
      </c>
      <c r="E52" t="inlineStr">
        <is>
          <t>sources/C56369070.xlsx</t>
        </is>
      </c>
    </row>
    <row r="53">
      <c r="A53" t="inlineStr">
        <is>
          <t>C56369091</t>
        </is>
      </c>
      <c r="B53" t="inlineStr">
        <is>
          <t>URBAN CORPS ESD BILLING AUGUST 2025 INV NUMBER 25-02004-1_nd edits.xlsx</t>
        </is>
      </c>
      <c r="C53" t="inlineStr">
        <is>
          <t>https://sandiego.nextrequest.com/documents/56369091</t>
        </is>
      </c>
      <c r="D53" t="inlineStr">
        <is>
          <t>64285794d0debceb11bc9f02d71ab555abe6f666a8db247d34e460aa76f342c0</t>
        </is>
      </c>
      <c r="E53" t="inlineStr">
        <is>
          <t>sources/C56369091.xlsx</t>
        </is>
      </c>
    </row>
    <row r="54">
      <c r="A54" t="inlineStr">
        <is>
          <t>C55177515</t>
        </is>
      </c>
      <c r="B54" t="inlineStr">
        <is>
          <t>Paid_FY24_Circut_Inv3162 $35,979.24.pdf</t>
        </is>
      </c>
      <c r="C54" t="inlineStr">
        <is>
          <t>https://sandiego.nextrequest.com/documents/55177515</t>
        </is>
      </c>
      <c r="D54" t="inlineStr">
        <is>
          <t>42e24215e1a3938de25f3ad43d46a4029a47618c7c488e68b4d9a9531d53e00e</t>
        </is>
      </c>
      <c r="E54" t="inlineStr">
        <is>
          <t>sources/C55177515-excerpt.pdf</t>
        </is>
      </c>
    </row>
    <row r="55">
      <c r="A55" t="inlineStr">
        <is>
          <t>C55177518</t>
        </is>
      </c>
      <c r="B55" t="inlineStr">
        <is>
          <t>Paid_Invoice_3162_from_Circuit_Transit_Inc_GR 5001555463.pdf</t>
        </is>
      </c>
      <c r="C55" t="inlineStr">
        <is>
          <t>https://sandiego.nextrequest.com/documents/55177518</t>
        </is>
      </c>
      <c r="D55" t="inlineStr">
        <is>
          <t>db2db3917a69d24628a24283b5b90b77831d4a1895c0548c66a29a148ede5cb4</t>
        </is>
      </c>
      <c r="E55" t="inlineStr">
        <is>
          <t>sources/C55177518-excerpt.pdf</t>
        </is>
      </c>
    </row>
    <row r="56">
      <c r="A56" t="inlineStr">
        <is>
          <t>C55177508</t>
        </is>
      </c>
      <c r="B56" t="inlineStr">
        <is>
          <t>Paid_FY 24_Invoice_3227_from_Circuit_Transit_Inc_GR 5001543556.pdf</t>
        </is>
      </c>
      <c r="C56" t="inlineStr">
        <is>
          <t>https://sandiego.nextrequest.com/documents/55177508</t>
        </is>
      </c>
      <c r="D56" t="inlineStr">
        <is>
          <t>fd999c78e2bd40d9ddd9d43cb4bd5e38287ae3810d24eb2625ebf66b0c5fbc09</t>
        </is>
      </c>
      <c r="E56" t="inlineStr">
        <is>
          <t>sources/C55177508-excerpt.pdf</t>
        </is>
      </c>
    </row>
    <row r="57">
      <c r="A57" t="inlineStr">
        <is>
          <t>C55177520</t>
        </is>
      </c>
      <c r="B57" t="inlineStr">
        <is>
          <t>Paid_Invoice_3227_from_Circuit_Transit_Inc_GR 5001555465.pdf</t>
        </is>
      </c>
      <c r="C57" t="inlineStr">
        <is>
          <t>https://sandiego.nextrequest.com/documents/55177520</t>
        </is>
      </c>
      <c r="D57" t="inlineStr">
        <is>
          <t>f2876e562d6701fc39663d6aa39e494d8b9588840745129b30bb92978d64e1dd</t>
        </is>
      </c>
      <c r="E57" t="inlineStr">
        <is>
          <t>sources/C55177520-excerpt.pdf</t>
        </is>
      </c>
    </row>
    <row r="58">
      <c r="A58" t="inlineStr">
        <is>
          <t>C55177499</t>
        </is>
      </c>
      <c r="B58" t="inlineStr">
        <is>
          <t>FY25_Circut_GF_Invoice_3379_from_Circuit_Transit_Inc.pdf</t>
        </is>
      </c>
      <c r="C58" t="inlineStr">
        <is>
          <t>https://sandiego.nextrequest.com/documents/55177499</t>
        </is>
      </c>
      <c r="D58" t="inlineStr">
        <is>
          <t>c873529b1008ef1f328f3b3cb168cda173ace8fd6e3789a9e7357bf0e78d05a0</t>
        </is>
      </c>
      <c r="E58" t="inlineStr">
        <is>
          <t>sources/C55177499-excerpt.pdf</t>
        </is>
      </c>
    </row>
    <row r="59">
      <c r="A59" t="inlineStr">
        <is>
          <t>C38892366</t>
        </is>
      </c>
      <c r="B59" t="inlineStr">
        <is>
          <t>Circuit Transit Contract Spend by PO As of 8_30_2024.pdf</t>
        </is>
      </c>
      <c r="C59" t="inlineStr">
        <is>
          <t>https://sandiego.nextrequest.com/documents/38892366</t>
        </is>
      </c>
      <c r="D59" t="inlineStr">
        <is>
          <t>e500e1d8be5b4a804244c25cd87b6d980cde440ff0440c0613c19edb4ba9b626</t>
        </is>
      </c>
      <c r="E59" t="inlineStr">
        <is>
          <t>sources/C38892366-excerpt.pdf</t>
        </is>
      </c>
    </row>
    <row r="60">
      <c r="A60" t="inlineStr">
        <is>
          <t>C51883083</t>
        </is>
      </c>
      <c r="B60" t="inlineStr">
        <is>
          <t>HSSD_Unites Site Services_ Invoices.zip</t>
        </is>
      </c>
      <c r="C60" t="inlineStr">
        <is>
          <t>https://sandiego.nextrequest.com/documents/51883083</t>
        </is>
      </c>
      <c r="D60" t="inlineStr">
        <is>
          <t>c8dd153e91e1694b3c148ac48d145686bfd62bcb44e5b08be1813ff89d8107c3</t>
        </is>
      </c>
      <c r="E60" t="inlineStr">
        <is>
          <t>sources/C51883083.zip</t>
        </is>
      </c>
    </row>
    <row r="61">
      <c r="A61" t="inlineStr">
        <is>
          <t>C55184122</t>
        </is>
      </c>
      <c r="B61" t="inlineStr">
        <is>
          <t>FY 25_Rowe_May inv 18_$212,383.33_GR5001681019.pdf</t>
        </is>
      </c>
      <c r="C61" t="inlineStr">
        <is>
          <t>https://sandiego.nextrequest.com/documents/55184122</t>
        </is>
      </c>
      <c r="D61" t="inlineStr">
        <is>
          <t>6084c81af18af1d255c432e5a4475141a40f93ca1362068609837e5a29764f11</t>
        </is>
      </c>
      <c r="E61" t="inlineStr">
        <is>
          <t>sources/C55184122-excerpt.pdf</t>
        </is>
      </c>
    </row>
    <row r="62">
      <c r="A62" t="inlineStr">
        <is>
          <t>C55184131</t>
        </is>
      </c>
      <c r="B62" t="inlineStr">
        <is>
          <t>Paid_FY25_Rowe_April_Inv 17_$206,198.48_GR 5001653683.pdf</t>
        </is>
      </c>
      <c r="C62" t="inlineStr">
        <is>
          <t>https://sandiego.nextrequest.com/documents/55184131</t>
        </is>
      </c>
      <c r="D62" t="inlineStr">
        <is>
          <t>f268a67e6a8315a12b34eb715f7bd4ede239a3ea1ae54ba94b2aeb0cc790c18f</t>
        </is>
      </c>
      <c r="E62" t="inlineStr">
        <is>
          <t>sources/C55184131-excerpt.pdf</t>
        </is>
      </c>
    </row>
    <row r="63">
      <c r="A63" t="inlineStr">
        <is>
          <t>C55184143</t>
        </is>
      </c>
      <c r="B63" t="inlineStr">
        <is>
          <t>Paid_FY26_Rowe_July_Inv 241_$195,706.33_GR 5001685915.pdf (NextRequest 25-8741)</t>
        </is>
      </c>
      <c r="C63" t="inlineStr">
        <is>
          <t>https://sandiego.nextrequest.com/documents/55184143</t>
        </is>
      </c>
      <c r="D63" t="inlineStr">
        <is>
          <t>05dbdbc70013f04d6f8a228bc279f2b5254221d3b016b82219a7eaa2319e7994</t>
        </is>
      </c>
      <c r="E63" t="inlineStr">
        <is>
          <t>sources/C55184143-excerpt.pdf</t>
        </is>
      </c>
    </row>
    <row r="64">
      <c r="A64" t="inlineStr">
        <is>
          <t>C37828979</t>
        </is>
      </c>
      <c r="B64" t="inlineStr">
        <is>
          <t>Executed Contract_RFP 10090047-24-O, Meal Delivery Services.pdf (NextRequest 24-5932)</t>
        </is>
      </c>
      <c r="C64" t="inlineStr">
        <is>
          <t>https://sandiego.nextrequest.com/documents/37828979</t>
        </is>
      </c>
      <c r="D64" t="inlineStr">
        <is>
          <t>3934a46b01c67ea411a97e8a4a7ef22fcfd54dc679350b4a25326e99003bf9e3</t>
        </is>
      </c>
      <c r="E64" t="inlineStr">
        <is>
          <t>sources/C37828979-excerpt.pdf</t>
        </is>
      </c>
    </row>
    <row r="65">
      <c r="A65" t="inlineStr">
        <is>
          <t>CR316360</t>
        </is>
      </c>
      <c r="B65" t="inlineStr">
        <is>
          <t>City of San Diego. (2025, July 31). Resolution R-316360: First amendment to the Rowe Solutions meal-delivery contract.</t>
        </is>
      </c>
      <c r="C65" t="inlineStr">
        <is>
          <t>https://docs.sandiego.gov/council_reso_ordinance/rao2025/R-316360.pdf</t>
        </is>
      </c>
      <c r="D65" t="inlineStr">
        <is>
          <t>a8fd7e4b0c90f1896dd91a306c2f9c6d09fb75486d5199c978d13158a19250f3</t>
        </is>
      </c>
      <c r="E65" t="inlineStr">
        <is>
          <t>sources/CR316360-excerpt.pdf</t>
        </is>
      </c>
    </row>
    <row r="66">
      <c r="A66" t="inlineStr">
        <is>
          <t>CESCONDIDO</t>
        </is>
      </c>
      <c r="B66" t="inlineStr">
        <is>
          <t>City of Escondido. (2026, September 16). City Council meeting minutes, consent item 6 and vote.</t>
        </is>
      </c>
      <c r="C66" t="inlineStr">
        <is>
          <t>https://mccmeetings.blob.core.usgovcloudapi.net/escondidca-pubu/MEET-Minutes-36fcefecaef3470eaa4a60f0bb7017a8.pdf</t>
        </is>
      </c>
      <c r="D66" t="inlineStr">
        <is>
          <t>d6086a250b7066cc1979ebb327ae1e84728d44ecf23d4872aac2a4d4c57f32c3</t>
        </is>
      </c>
      <c r="E66" t="inlineStr">
        <is>
          <t>sources/CESCONDIDO-excerpt.pdf</t>
        </is>
      </c>
    </row>
    <row r="67">
      <c r="A67" t="inlineStr">
        <is>
          <t>ROWE999688</t>
        </is>
      </c>
      <c r="B67" t="inlineStr">
        <is>
          <t>Staff Report for -  ()</t>
        </is>
      </c>
      <c r="C67" t="inlineStr">
        <is>
          <t>https://sandiego.hylandcloud.com/211agendaonlinecouncil/Documents/DownloadFile/Staff%20Report%20for%20-%20%20().pdf?documentType=1&amp;meetingId=6599&amp;itemId=248272&amp;publishId=999688&amp;isSection=False&amp;isAttachment=True</t>
        </is>
      </c>
      <c r="D67" t="inlineStr">
        <is>
          <t>963c5ad2227a3007af564e6c271c6217bdbee0a39eb413a22858b9e1b7e79c24</t>
        </is>
      </c>
      <c r="E67" t="inlineStr">
        <is>
          <t>sources/ROWE999688-excerpt.pdf</t>
        </is>
      </c>
    </row>
    <row r="68">
      <c r="A68" t="inlineStr">
        <is>
          <t>ROWE999689</t>
        </is>
      </c>
      <c r="B68" t="inlineStr">
        <is>
          <t>Accounting Table.pdf</t>
        </is>
      </c>
      <c r="C68" t="inlineStr">
        <is>
          <t>https://sandiego.hylandcloud.com/211agendaonlinecouncil/Documents/ViewDocument/Accounting%20Table.pdf.pdf?meetingId=6599&amp;itemId=248272&amp;publishId=999689&amp;isSection=false&amp;documentType=Agenda</t>
        </is>
      </c>
      <c r="D68" t="inlineStr">
        <is>
          <t>fd31064de2566e3dca1ade03bebb04f563563b47597cd572aa30b48a0df68f4a</t>
        </is>
      </c>
      <c r="E68" t="inlineStr">
        <is>
          <t>sources/ROWE999689-excerpt.pdf</t>
        </is>
      </c>
    </row>
    <row r="69">
      <c r="A69" t="inlineStr">
        <is>
          <t>ROWE999690</t>
        </is>
      </c>
      <c r="B69" t="inlineStr">
        <is>
          <t>Comptroller's Certificate 3000017848.pdf</t>
        </is>
      </c>
      <c r="C69" t="inlineStr">
        <is>
          <t>https://sandiego.hylandcloud.com/211agendaonlinecouncil/Documents/ViewDocument/Comptroller?meetingId=6599&amp;itemId=248272&amp;publishId=999690&amp;isSection=false&amp;documentType=Agenda</t>
        </is>
      </c>
      <c r="D69" t="inlineStr">
        <is>
          <t>a3fa9bfd6019a3e354d6f8d422f32e4cd98032eb84f80939ac8025c0deb46956</t>
        </is>
      </c>
      <c r="E69" t="inlineStr">
        <is>
          <t>sources/ROWE999690-excerpt.pdf</t>
        </is>
      </c>
    </row>
    <row r="70">
      <c r="A70" t="inlineStr">
        <is>
          <t>ROWE999693</t>
        </is>
      </c>
      <c r="B70" t="inlineStr">
        <is>
          <t>10090047-24-O_ Rowe Solutions First Amendment</t>
        </is>
      </c>
      <c r="C70" t="inlineStr">
        <is>
          <t>https://sandiego.hylandcloud.com/211agendaonlinecouncil/Documents/ViewDocument/10090047-24-O_%20Rowe%20Solutions%20First%20Amendment.pdf?meetingId=6599&amp;itemId=248272&amp;publishId=999693&amp;isSection=false&amp;documentType=Agenda</t>
        </is>
      </c>
      <c r="D70" t="inlineStr">
        <is>
          <t>a101bd805148823a504b65b22f9d249e300ff9e176aa3e9c291a47e5c0a82c44</t>
        </is>
      </c>
      <c r="E70" t="inlineStr">
        <is>
          <t>sources/ROWE999693-excerpt.pdf</t>
        </is>
      </c>
    </row>
    <row r="71">
      <c r="A71" t="inlineStr">
        <is>
          <t>ROWE1119606</t>
        </is>
      </c>
      <c r="B71" t="inlineStr">
        <is>
          <t>Staff Report.docx</t>
        </is>
      </c>
      <c r="C71" t="inlineStr">
        <is>
          <t>https://sandiego.hylandcloud.com/211agendaonlinecomm/Documents/ViewDocument/Staff%20Report.docx.pdf?meetingId=7088&amp;itemId=263426&amp;publishId=1119606&amp;isSection=false&amp;documentType=Agenda</t>
        </is>
      </c>
      <c r="D71" t="inlineStr">
        <is>
          <t>4347add4cfedbd70d3b9b0d79b169b8064c979c8d5684188842f8fe78167950e</t>
        </is>
      </c>
      <c r="E71" t="inlineStr">
        <is>
          <t>sources/ROWE1119606-excerpt.pdf</t>
        </is>
      </c>
    </row>
    <row r="72">
      <c r="A72" t="inlineStr">
        <is>
          <t>ROWE1119610</t>
        </is>
      </c>
      <c r="B72" t="inlineStr">
        <is>
          <t>Rowe Solutions Contract - Meal Delivery Services (10090426-26-V)</t>
        </is>
      </c>
      <c r="C72" t="inlineStr">
        <is>
          <t>https://sandiego.hylandcloud.com/211agendaonlinecomm/Documents/ViewDocument/Rowe%20Solutions%20Contract%20-%20Meal%20Delivery%20Services%20%2810090426-26-V%29.pdf?meetingId=7088&amp;itemId=263426&amp;publishId=1119610&amp;isSection=false&amp;documentType=Agenda</t>
        </is>
      </c>
      <c r="D72" t="inlineStr">
        <is>
          <t>453ba612df81f10ee33a4db28f71024a7496a7231c4244cc79dfada2aa6663c7</t>
        </is>
      </c>
      <c r="E72" t="inlineStr">
        <is>
          <t>sources/ROWE1119610-excerpt.pdf</t>
        </is>
      </c>
    </row>
    <row r="73">
      <c r="A73" t="inlineStr">
        <is>
          <t>COUNTYROWE</t>
        </is>
      </c>
      <c r="B73" t="inlineStr">
        <is>
          <t>County of San Diego, DEHQ. SD Food Info facility and inspection history: Rowe Solutions, DEH2024-FFPP-017715 (retrieved October 17, 2026).</t>
        </is>
      </c>
      <c r="C73" t="inlineStr">
        <is>
          <t>https://www.sdfoodinfo.org/restaurants/search_facility_by_id.htm?business_id=211974616999&amp;lat=32.715736&amp;lng=-117.161087</t>
        </is>
      </c>
      <c r="D73" t="inlineStr">
        <is>
          <t>3776e1513d42ca75f5be4f2c1bd560d253d3d54f64fc2786d319e6c8074ae401</t>
        </is>
      </c>
      <c r="E73" t="inlineStr">
        <is>
          <t>sources/COUNTYROWE.json</t>
        </is>
      </c>
    </row>
    <row r="74">
      <c r="A74" t="inlineStr">
        <is>
          <t>C34425047</t>
        </is>
      </c>
      <c r="B74" t="inlineStr">
        <is>
          <t>Redacted Executed Contract_RFP 10090066-24-V, DfC Safe Sleeping Program Operations.pdf (NextRequest 24-3385)</t>
        </is>
      </c>
      <c r="C74" t="inlineStr">
        <is>
          <t>https://sandiego.nextrequest.com/documents/34425047</t>
        </is>
      </c>
      <c r="D74" t="inlineStr">
        <is>
          <t>89d5193cd181bd1c8f8f3e8b642b066e88ecb3c653e580cfef587f7654ea6ef0</t>
        </is>
      </c>
      <c r="E74" t="inlineStr">
        <is>
          <t>sources/C34425047-excerpt.pdf</t>
        </is>
      </c>
    </row>
    <row r="75">
      <c r="A75" t="inlineStr">
        <is>
          <t>C51908446</t>
        </is>
      </c>
      <c r="B75" t="inlineStr">
        <is>
          <t>JHAT O Lot Tier 4 5.25.pdf</t>
        </is>
      </c>
      <c r="C75" t="inlineStr">
        <is>
          <t>https://sandiego.nextrequest.com/documents/51908446</t>
        </is>
      </c>
      <c r="D75" t="inlineStr">
        <is>
          <t>57e8d00dadac4678162be7b44077703488a4449b6ccfc5bb539cc27e94d557d6</t>
        </is>
      </c>
      <c r="E75" t="inlineStr">
        <is>
          <t>sources/C51908446-excerpt.pdf</t>
        </is>
      </c>
    </row>
    <row r="76">
      <c r="A76" t="inlineStr">
        <is>
          <t>C51908375</t>
        </is>
      </c>
      <c r="B76" t="inlineStr">
        <is>
          <t>JHAT O Lot Tier 2 5.25.pdf</t>
        </is>
      </c>
      <c r="C76" t="inlineStr">
        <is>
          <t>https://sandiego.nextrequest.com/documents/51908375</t>
        </is>
      </c>
      <c r="D76" t="inlineStr">
        <is>
          <t>be552d1b113afbd6ab5b2b5b3b6d2b807342be3a0bec37ec3c4fc1ee0ac773f8</t>
        </is>
      </c>
      <c r="E76" t="inlineStr">
        <is>
          <t>sources/C51908375-excerpt.pdf</t>
        </is>
      </c>
    </row>
    <row r="77">
      <c r="A77" t="inlineStr">
        <is>
          <t>C47608474</t>
        </is>
      </c>
      <c r="B77" t="inlineStr">
        <is>
          <t>PRA 25-4313_HSSD Responsive Records.pdf</t>
        </is>
      </c>
      <c r="C77" t="inlineStr">
        <is>
          <t>https://sandiego.nextrequest.com/documents/47608474</t>
        </is>
      </c>
      <c r="D77" t="inlineStr">
        <is>
          <t>25d50ef744659d48102acffa20c7c6a1448505a029756dc61be07ce721c3b0d2</t>
        </is>
      </c>
      <c r="E77" t="inlineStr">
        <is>
          <t>sources/C47608474-excerpt.pdf</t>
        </is>
      </c>
    </row>
    <row r="78">
      <c r="A78" t="inlineStr">
        <is>
          <t>C46388596</t>
        </is>
      </c>
      <c r="B78" t="inlineStr">
        <is>
          <t>AllState Daily Activity Report 6-4-25.pdf</t>
        </is>
      </c>
      <c r="C78" t="inlineStr">
        <is>
          <t>https://sandiego.nextrequest.com/documents/46388596</t>
        </is>
      </c>
      <c r="D78" t="inlineStr">
        <is>
          <t>8ba1ab776995bd2d9910810febbfdb7e5f1800410c5715a449f006827b1a2af2</t>
        </is>
      </c>
    </row>
    <row r="79">
      <c r="A79" t="inlineStr">
        <is>
          <t>C69442641</t>
        </is>
      </c>
      <c r="B79" t="inlineStr">
        <is>
          <t>Communications 2023-2026_Redacted.pdf</t>
        </is>
      </c>
      <c r="C79" t="inlineStr">
        <is>
          <t>https://sandiego.nextrequest.com/documents/69442641</t>
        </is>
      </c>
      <c r="D79" t="inlineStr">
        <is>
          <t>79ed2429458604a7ccaceff710289eaff2914a1acf08d9b4a225406b35d13b3a</t>
        </is>
      </c>
    </row>
    <row r="80">
      <c r="A80" t="inlineStr">
        <is>
          <t>C64090984</t>
        </is>
      </c>
      <c r="B80" t="inlineStr">
        <is>
          <t>DFC RFRs 20th &amp; B_OLot.pdf (NextRequest 26-4635)</t>
        </is>
      </c>
      <c r="C80" t="inlineStr">
        <is>
          <t>https://sandiego.nextrequest.com/documents/64090984</t>
        </is>
      </c>
      <c r="D80" t="inlineStr">
        <is>
          <t>509688dbe0bcf5d3c921b5e9c26b62cd34606e94ff4a23e70c9b7e02b478b46f</t>
        </is>
      </c>
      <c r="E80" t="inlineStr">
        <is>
          <t>sources/C64090984-excerpt.pdf</t>
        </is>
      </c>
    </row>
    <row r="81">
      <c r="A81" t="inlineStr">
        <is>
          <t>C64091015</t>
        </is>
      </c>
      <c r="B81" t="inlineStr">
        <is>
          <t>DfC RFR April 2026 - 20th &amp; B.pdf (NextRequest 26-4635)</t>
        </is>
      </c>
      <c r="C81" t="inlineStr">
        <is>
          <t>https://sandiego.nextrequest.com/documents/64091015</t>
        </is>
      </c>
      <c r="D81" t="inlineStr">
        <is>
          <t>cff46ae26f4e251ec4e5ab146d05a973f77812a06d00557a7c292bcb5bb9d894</t>
        </is>
      </c>
      <c r="E81" t="inlineStr">
        <is>
          <t>sources/C64091015-excerpt.pdf</t>
        </is>
      </c>
    </row>
    <row r="82">
      <c r="A82" t="inlineStr">
        <is>
          <t>C64091016</t>
        </is>
      </c>
      <c r="B82" t="inlineStr">
        <is>
          <t>DfC RFR April 2026 - O Lot.pdf (NextRequest 26-4635)</t>
        </is>
      </c>
      <c r="C82" t="inlineStr">
        <is>
          <t>https://sandiego.nextrequest.com/documents/64091016</t>
        </is>
      </c>
      <c r="D82" t="inlineStr">
        <is>
          <t>ba1f91eda3c955206b3fbd1a2fc127542ab1c19b2ac6d76d18ca4d9560cc3396</t>
        </is>
      </c>
      <c r="E82" t="inlineStr">
        <is>
          <t>sources/C64091016-excerpt.pdf</t>
        </is>
      </c>
    </row>
    <row r="83">
      <c r="A83" t="inlineStr">
        <is>
          <t>C64725511</t>
        </is>
      </c>
      <c r="B83" t="inlineStr">
        <is>
          <t>10090066-24-V_Executed Third Amendment_DfC Safe Sleeping Program OLot (1).pdf</t>
        </is>
      </c>
      <c r="C83" t="inlineStr">
        <is>
          <t>https://sandiego.nextrequest.com/documents/64725511</t>
        </is>
      </c>
      <c r="D83" t="inlineStr">
        <is>
          <t>41bc271ac4b579245e8106633aa42fef8a67c84a22c39f98a982f64771057a38</t>
        </is>
      </c>
      <c r="E83" t="inlineStr">
        <is>
          <t>sources/C64725511-excerpt.pdf</t>
        </is>
      </c>
    </row>
    <row r="84">
      <c r="A84" t="inlineStr">
        <is>
          <t>C64725518</t>
        </is>
      </c>
      <c r="B84" t="inlineStr">
        <is>
          <t>Executed Third Amendment_DfC Safe Sleeping Program 20thB.pdf</t>
        </is>
      </c>
      <c r="C84" t="inlineStr">
        <is>
          <t>https://sandiego.nextrequest.com/documents/64725518</t>
        </is>
      </c>
      <c r="D84" t="inlineStr">
        <is>
          <t>dcc36be408c56b9689a0edd1b26b692a98eb00291ac73ef6db3e7373cc8c0b70</t>
        </is>
      </c>
      <c r="E84" t="inlineStr">
        <is>
          <t>sources/C64725518-excerpt.pdf</t>
        </is>
      </c>
    </row>
    <row r="85">
      <c r="A85" t="inlineStr">
        <is>
          <t>C64725401</t>
        </is>
      </c>
      <c r="B85" t="inlineStr">
        <is>
          <t>DFC Invoices FY23_Present.pdf</t>
        </is>
      </c>
      <c r="C85" t="inlineStr">
        <is>
          <t>https://sandiego.nextrequest.com/documents/64725401</t>
        </is>
      </c>
      <c r="D85" t="inlineStr">
        <is>
          <t>d94c248dfdf966f940204acf1df598dd3ff4a18bd188c2ca2eb6a44262c15070</t>
        </is>
      </c>
      <c r="E85" t="inlineStr">
        <is>
          <t>sources/C64725401-excerpt.pdf</t>
        </is>
      </c>
    </row>
    <row r="86">
      <c r="A86" t="inlineStr">
        <is>
          <t>C64027654</t>
        </is>
      </c>
      <c r="B86" t="inlineStr">
        <is>
          <t>Invoice Spreadsheet.pdf (NextRequest 26-352)</t>
        </is>
      </c>
      <c r="C86" t="inlineStr">
        <is>
          <t>https://sandiego.nextrequest.com/documents/64027654</t>
        </is>
      </c>
      <c r="D86" t="inlineStr">
        <is>
          <t>dc86ee14f026fdd623412f8e2f5d36db04c8fe92eb84f195f384566257862ddf</t>
        </is>
      </c>
      <c r="E86" t="inlineStr">
        <is>
          <t>sources/C64027654-excerpt.pdf</t>
        </is>
      </c>
    </row>
    <row r="87">
      <c r="A87" t="inlineStr">
        <is>
          <t>C63347471</t>
        </is>
      </c>
      <c r="B87" t="inlineStr">
        <is>
          <t>ESD - Response for PRA 26-4237.pdf</t>
        </is>
      </c>
      <c r="C87" t="inlineStr">
        <is>
          <t>https://sandiego.nextrequest.com/documents/63347471</t>
        </is>
      </c>
      <c r="D87" t="inlineStr">
        <is>
          <t>112b34c8c7423f0fc206825daf6d916fe2da668fd7cb221851d2cc8423974c25</t>
        </is>
      </c>
      <c r="E87" t="inlineStr">
        <is>
          <t>sources/C63347471-excerpt.pdf</t>
        </is>
      </c>
    </row>
    <row r="88">
      <c r="A88" t="inlineStr">
        <is>
          <t>C63748796</t>
        </is>
      </c>
      <c r="B88" t="inlineStr">
        <is>
          <t>PRA #26-4237 - ESD - Clean SD Summary April 2026.pdf</t>
        </is>
      </c>
      <c r="C88" t="inlineStr">
        <is>
          <t>https://sandiego.nextrequest.com/documents/63748796</t>
        </is>
      </c>
      <c r="D88" t="inlineStr">
        <is>
          <t>199a529601e3918c50a820ebeb8aa9ba895831687fa3ec52c1308f0bd7a6e405</t>
        </is>
      </c>
      <c r="E88" t="inlineStr">
        <is>
          <t>sources/C63748796-excerpt.pdf</t>
        </is>
      </c>
    </row>
    <row r="89">
      <c r="A89" t="inlineStr">
        <is>
          <t>CNEWS10</t>
        </is>
      </c>
      <c r="B89" t="inlineStr">
        <is>
          <t>10News. Rat infestation reported at Safe Sleeping site; operator response on meal portions, menus and inspection.</t>
        </is>
      </c>
      <c r="C89" t="inlineStr">
        <is>
          <t>https://www.10news.com/news/local-news/san-diego-news/rat-infestation-reported-at-safe-sleeping-site-city-of-san-diego-pushing-back</t>
        </is>
      </c>
    </row>
    <row r="90">
      <c r="A90" t="inlineStr">
        <is>
          <t>CCALMATTERS</t>
        </is>
      </c>
      <c r="B90" t="inlineStr">
        <is>
          <t>CalMatters. (2024, July). California homeless shelters: resident account of insufficient meals.</t>
        </is>
      </c>
      <c r="C90" t="inlineStr">
        <is>
          <t>https://calmatters.org/housing/homelessness/2024/07/california-homeless-shelters/</t>
        </is>
      </c>
    </row>
    <row r="91">
      <c r="A91" t="inlineStr">
        <is>
          <t>OCA26-03</t>
        </is>
      </c>
      <c r="B91" t="inlineStr">
        <is>
          <t>City Auditor. (October 2025). Performance Audit of the City’s Key Performance Indicators, OCA-26-03.</t>
        </is>
      </c>
      <c r="C91" t="inlineStr">
        <is>
          <t>https://www.sandiego.gov/sites/default/files/2025-10/26-03-performance-audit-of-the-city-s-key-performance-indicators.pdf</t>
        </is>
      </c>
      <c r="D91" t="inlineStr">
        <is>
          <t>11d66da51a6e1c56fed560db40265144c0a8591546319f0ef463a64e829bccaa</t>
        </is>
      </c>
      <c r="E91" t="inlineStr">
        <is>
          <t>sources/OCA26-03-excerpt.pdf</t>
        </is>
      </c>
    </row>
    <row r="92">
      <c r="A92" t="inlineStr">
        <is>
          <t>CP00002-CURRENT</t>
        </is>
      </c>
      <c r="B92" t="inlineStr">
        <is>
          <t>City of San Diego. Council Policy 000-02: Budget Policies. Effective July 11, 2022.</t>
        </is>
      </c>
      <c r="C92" t="inlineStr">
        <is>
          <t>https://docs.sandiego.gov/councilpolicies/cpd_000-02.pdf</t>
        </is>
      </c>
      <c r="D92" t="inlineStr">
        <is>
          <t>9838c785b8cf9db3922c4cc03007ce6507d17e14df4c5bc09464919a5e063e04</t>
        </is>
      </c>
      <c r="E92" t="inlineStr">
        <is>
          <t>sources/CP00002-CURRENT-excerpt.pdf</t>
        </is>
      </c>
    </row>
    <row r="93">
      <c r="A93" t="inlineStr">
        <is>
          <t>BK36</t>
        </is>
      </c>
      <c r="B93" t="inlineStr">
        <is>
          <t>City Auditor. Recommendation follow-up report, period ending June 30, 2026.</t>
        </is>
      </c>
      <c r="C93" t="inlineStr">
        <is>
          <t>https://sandiego.hylandcloud.com/211agendaonlinecomm/Documents/ViewDocument/recommendation-follow-up-report-period-ending-june-30-2026.pdf.pdf?meetingId=7196&amp;documentType=Agenda&amp;itemId=265947&amp;publishId=1134063&amp;isSection=false</t>
        </is>
      </c>
      <c r="D93" t="inlineStr">
        <is>
          <t>d6903bd613a4edd6e5825a018fdff45f46d74b185d1beb45bad5f49f618eaeb7</t>
        </is>
      </c>
      <c r="E93" t="inlineStr">
        <is>
          <t>sources/BK36.pdf</t>
        </is>
      </c>
    </row>
    <row r="94">
      <c r="A94" t="inlineStr">
        <is>
          <t>HCD-FISCAL-SNAPSHOT</t>
        </is>
      </c>
      <c r="B94" t="inlineStr">
        <is>
          <t>California HCD. HHAP fiscal snapshot; latest reports submitted as of July 31, 2026.</t>
        </is>
      </c>
      <c r="C94" t="inlineStr">
        <is>
          <t>https://www.hcd.ca.gov/sites/default/files/docs/grants-and-funding/calich/hhap-dashboard-fiscal-snapshot.xlsx</t>
        </is>
      </c>
      <c r="D94" t="inlineStr">
        <is>
          <t>a6d9bab123767e74cdf1ea3ab6b1e4f97c0e14ab2922bc89e9f4eded66d097f3</t>
        </is>
      </c>
      <c r="E94" t="inlineStr">
        <is>
          <t>sources/HCD-FISCAL-SNAPSHOT.xlsx</t>
        </is>
      </c>
    </row>
    <row r="95">
      <c r="A95" t="inlineStr">
        <is>
          <t>HCD-HHAP-ANNUAL-XLSX</t>
        </is>
      </c>
      <c r="B95" t="inlineStr">
        <is>
          <t>California HCD. 2026 HHAP annual-report workbook; activity through December 31, 2025.</t>
        </is>
      </c>
      <c r="C95" t="inlineStr">
        <is>
          <t>https://www.hcd.ca.gov/sites/default/files/docs/grants-and-funding/calich/2026-hhap-annual-report.xlsx</t>
        </is>
      </c>
      <c r="D95" t="inlineStr">
        <is>
          <t>d253b0ca7b50343f15f235804c6291f1ae7a7d19f8a96cf902db3304a6ef5ae9</t>
        </is>
      </c>
      <c r="E95" t="inlineStr">
        <is>
          <t>sources/HCD-HHAP-ANNUAL-XLSX.xlsx</t>
        </is>
      </c>
    </row>
    <row r="96">
      <c r="A96" t="inlineStr">
        <is>
          <t>HCD-COMPLIANCE</t>
        </is>
      </c>
      <c r="B96" t="inlineStr">
        <is>
          <t>California HCD. HHAP HMIS/HDIS compliance report, Q4 2025; participation definitions and project linkage.</t>
        </is>
      </c>
      <c r="C96" t="inlineStr">
        <is>
          <t>https://www.hcd.ca.gov/sites/default/files/docs/grants-and-funding/calich/hmis-hdis-compliance-report.xlsx</t>
        </is>
      </c>
      <c r="D96" t="inlineStr">
        <is>
          <t>93f375eae53841e6ddf5efcb39fc26d189d16a6e5e6b1d3ee8adde202f586d76</t>
        </is>
      </c>
      <c r="E96" t="inlineStr">
        <is>
          <t>sources/HCD-COMPLIANCE.xlsx</t>
        </is>
      </c>
    </row>
    <row r="97">
      <c r="A97" t="inlineStr">
        <is>
          <t>R-315810</t>
        </is>
      </c>
      <c r="B97" t="inlineStr">
        <is>
          <t>Council Resolution R-315810, DSDP Safe Sleeping first amendment</t>
        </is>
      </c>
      <c r="C97" t="inlineStr">
        <is>
          <t>https://docs.sandiego.gov/council_reso_ordinance/rao2024/R-315810.pdf</t>
        </is>
      </c>
      <c r="D97" t="inlineStr">
        <is>
          <t>6e8347ccd43d5e31eeab2f3fbacf2ca04f7b76b034490b230b38b526afb4bc57</t>
        </is>
      </c>
      <c r="E97" t="inlineStr">
        <is>
          <t>sources/R-315810-excerpt.pdf</t>
        </is>
      </c>
    </row>
    <row r="98">
      <c r="A98" t="inlineStr">
        <is>
          <t>Docket931911</t>
        </is>
      </c>
      <c r="B98" t="inlineStr">
        <is>
          <t>Staff Report for -  ()</t>
        </is>
      </c>
      <c r="C98" t="inlineStr">
        <is>
          <t>https://sandiego.hylandcloud.com/211agendaonlinecouncil/Documents/ViewDocument/Staff%20Report%20for%20-%20%20%28%29.pdf?meetingId=6203&amp;itemId=238403&amp;publishId=931911&amp;isSection=false&amp;documentType=Agenda</t>
        </is>
      </c>
      <c r="D98" t="inlineStr">
        <is>
          <t>6e2254272d23b55984a55639ab09a0c23c12efcce629c263cbd27f48dd1919d4</t>
        </is>
      </c>
      <c r="E98" t="inlineStr">
        <is>
          <t>sources/Docket931911-excerpt.pdf</t>
        </is>
      </c>
    </row>
    <row r="99">
      <c r="A99" t="inlineStr">
        <is>
          <t>NR35389136</t>
        </is>
      </c>
      <c r="B99" t="inlineStr">
        <is>
          <t>Executed_Third Amendment_DSDP Family Reunification and Outreach Program Svcs.pdf</t>
        </is>
      </c>
      <c r="C99" t="inlineStr">
        <is>
          <t>https://sandiego.nextrequest.com/documents/35389136</t>
        </is>
      </c>
      <c r="D99" t="inlineStr">
        <is>
          <t>cbc27bdf4fda5aadf9769a0218e045eba333fff7871be5ec76e17a41ce44159f</t>
        </is>
      </c>
      <c r="E99" t="inlineStr">
        <is>
          <t>sources/NR35389136-excerpt.pdf</t>
        </is>
      </c>
    </row>
    <row r="100">
      <c r="A100" t="inlineStr">
        <is>
          <t>DSDP-FY24</t>
        </is>
      </c>
      <c r="B100" t="inlineStr">
        <is>
          <t>July 16, 2024 PBID Advisory Board Agenda Packet</t>
        </is>
      </c>
      <c r="C100" t="inlineStr">
        <is>
          <t>https://downtownsandiego.org/wp-content/uploads/2025/08/2024.07.16-PBID-Advisory-Board-Agenda-Packet.pdf</t>
        </is>
      </c>
      <c r="D100" t="inlineStr">
        <is>
          <t>11ea5a2997edbea5e5223089923d803598c94861ff5479d35d8ac52ccd625c47</t>
        </is>
      </c>
    </row>
    <row r="101">
      <c r="A101" t="inlineStr">
        <is>
          <t>CITY-FRP-FY24</t>
        </is>
      </c>
      <c r="B101" t="inlineStr">
        <is>
          <t>Outreach Efforts Are Changing Lives For San Diegans Experiencing Homelessness (City News Team, September13,2024)</t>
        </is>
      </c>
      <c r="C101" t="inlineStr">
        <is>
          <t>https://www.insidesandiego.org/outreach-efforts-are-changing-lives-san-diegans-experiencing-homelessness</t>
        </is>
      </c>
      <c r="D101" t="inlineStr">
        <is>
          <t>b036f3515dc7c101046bb5f74a74f86239c03e91962f351a2004ac62a5bb3f7a</t>
        </is>
      </c>
      <c r="E101" t="inlineStr">
        <is>
          <t>sources/CITY-FRP-FY24.html</t>
        </is>
      </c>
    </row>
    <row r="102">
      <c r="A102" t="inlineStr">
        <is>
          <t>DSDP-SURVEY</t>
        </is>
      </c>
      <c r="B102" t="inlineStr">
        <is>
          <t>March 19, 2024 PBID Advisory Board Agenda Packet</t>
        </is>
      </c>
      <c r="C102" t="inlineStr">
        <is>
          <t>https://downtownsandiego.org/wp-content/uploads/2025/08/2024.03.19-PBID-Advisory-Board-Agenda-Packet.pdf</t>
        </is>
      </c>
      <c r="D102" t="inlineStr">
        <is>
          <t>ad3a36fb2039fffcabeeca2911b3435cf0cb323f8e99c86ec002743347646ac8</t>
        </is>
      </c>
    </row>
    <row r="103">
      <c r="A103" t="inlineStr">
        <is>
          <t>DSDP-FOLLOWUP</t>
        </is>
      </c>
      <c r="B103" t="inlineStr">
        <is>
          <t>September 17, 2024 PBID Advisory Board Agenda Packet</t>
        </is>
      </c>
      <c r="C103" t="inlineStr">
        <is>
          <t>https://downtownsandiego.org/wp-content/uploads/2025/08/2024.09.17-PBID-Advisory-Board-Agenda-Packet.pdf</t>
        </is>
      </c>
      <c r="D103" t="inlineStr">
        <is>
          <t>290293ae90c6b8ee573acb600a2639d446cdc417be870538083c65471f29510e</t>
        </is>
      </c>
    </row>
    <row r="104">
      <c r="A104" t="inlineStr">
        <is>
          <t>NR51908355</t>
        </is>
      </c>
      <c r="B104" t="inlineStr">
        <is>
          <t>JHAT B Lot 3.25.pdf</t>
        </is>
      </c>
      <c r="C104" t="inlineStr">
        <is>
          <t>https://sandiego.nextrequest.com/documents/51908355</t>
        </is>
      </c>
      <c r="D104" t="inlineStr">
        <is>
          <t>bb3d0c80bef39c1ee88c41fd3f68bd0675f86a810c87c62147f3a95cbaee8d57</t>
        </is>
      </c>
      <c r="E104" t="inlineStr">
        <is>
          <t>sources/NR51908355-excerpt.pdf</t>
        </is>
      </c>
    </row>
    <row r="105">
      <c r="A105" t="inlineStr">
        <is>
          <t>NR51908354</t>
        </is>
      </c>
      <c r="B105" t="inlineStr">
        <is>
          <t>JHAT B Lot 4.25.pdf</t>
        </is>
      </c>
      <c r="C105" t="inlineStr">
        <is>
          <t>https://sandiego.nextrequest.com/documents/51908354</t>
        </is>
      </c>
      <c r="D105" t="inlineStr">
        <is>
          <t>64c01cffb746b3cee23913da7065c5214118d0d2b91a9d85bf89d36515f93a47</t>
        </is>
      </c>
      <c r="E105" t="inlineStr">
        <is>
          <t>sources/NR51908354-excerpt.pdf</t>
        </is>
      </c>
    </row>
    <row r="106">
      <c r="A106" t="inlineStr">
        <is>
          <t>NR51908357</t>
        </is>
      </c>
      <c r="B106" t="inlineStr">
        <is>
          <t>JHAT B Lot 5.25.pdf</t>
        </is>
      </c>
      <c r="C106" t="inlineStr">
        <is>
          <t>https://sandiego.nextrequest.com/documents/51908357</t>
        </is>
      </c>
      <c r="D106" t="inlineStr">
        <is>
          <t>63c0b49c3af85a0f6d8217b09c059772def1e104dd94e47fffee8b54b593fe3c</t>
        </is>
      </c>
      <c r="E106" t="inlineStr">
        <is>
          <t>sources/NR51908357-excerpt.pdf</t>
        </is>
      </c>
    </row>
    <row r="107">
      <c r="A107" t="inlineStr">
        <is>
          <t>NR51908358</t>
        </is>
      </c>
      <c r="B107" t="inlineStr">
        <is>
          <t>JHAT B Lot 6.25.pdf</t>
        </is>
      </c>
      <c r="C107" t="inlineStr">
        <is>
          <t>https://sandiego.nextrequest.com/documents/51908358</t>
        </is>
      </c>
      <c r="D107" t="inlineStr">
        <is>
          <t>6b7a7f6b093d44a4dbf67a7b8c300988459a71fe9a3782f8bb65ed1881ae4ae9</t>
        </is>
      </c>
      <c r="E107" t="inlineStr">
        <is>
          <t>sources/NR51908358-excerpt.pdf</t>
        </is>
      </c>
    </row>
    <row r="108">
      <c r="A108" t="inlineStr">
        <is>
          <t>NR51908359</t>
        </is>
      </c>
      <c r="B108" t="inlineStr">
        <is>
          <t>JHAT B Lot 7.25.pdf</t>
        </is>
      </c>
      <c r="C108" t="inlineStr">
        <is>
          <t>https://sandiego.nextrequest.com/documents/51908359</t>
        </is>
      </c>
      <c r="D108" t="inlineStr">
        <is>
          <t>a2729fd5d70e7ea604c71c89a60fddb2e34a3e992269ea68a9165cc49709675c</t>
        </is>
      </c>
      <c r="E108" t="inlineStr">
        <is>
          <t>sources/NR51908359-excerpt.pdf</t>
        </is>
      </c>
    </row>
    <row r="109">
      <c r="A109" t="inlineStr">
        <is>
          <t>NR51908266</t>
        </is>
      </c>
      <c r="B109" t="inlineStr">
        <is>
          <t>JHAT CHRT 8.24.pdf</t>
        </is>
      </c>
      <c r="C109" t="inlineStr">
        <is>
          <t>https://sandiego.nextrequest.com/documents/51908266</t>
        </is>
      </c>
      <c r="D109" t="inlineStr">
        <is>
          <t>1d8abb225a19c354668aba7118b8e4d8e15b96ff0612f016e9e55d14e2ab90a6</t>
        </is>
      </c>
      <c r="E109" t="inlineStr">
        <is>
          <t>sources/NR51908266-excerpt.pdf</t>
        </is>
      </c>
    </row>
    <row r="110">
      <c r="A110" t="inlineStr">
        <is>
          <t>NR51908268</t>
        </is>
      </c>
      <c r="B110" t="inlineStr">
        <is>
          <t>JHAT CHRT 9.24.pdf</t>
        </is>
      </c>
      <c r="C110" t="inlineStr">
        <is>
          <t>https://sandiego.nextrequest.com/documents/51908268</t>
        </is>
      </c>
      <c r="D110" t="inlineStr">
        <is>
          <t>86bc605e8b73117a52ea57336216f5d05e8e4fe33e2e2322af47fa0228f87918</t>
        </is>
      </c>
      <c r="E110" t="inlineStr">
        <is>
          <t>sources/NR51908268-excerpt.pdf</t>
        </is>
      </c>
    </row>
    <row r="111">
      <c r="A111" t="inlineStr">
        <is>
          <t>IBA-2025-18</t>
        </is>
      </c>
      <c r="B111" t="inlineStr">
        <is>
          <t>IBA-2025-18 original City PDF</t>
        </is>
      </c>
      <c r="C111" t="inlineStr">
        <is>
          <t>https://www.sandiego.gov/sites/default/files/2025-05/25-18-recommended-city-council-modifications-to-the-mayors-proposed-fy-2026-budget-and-review-of-the-may-revision.pdf</t>
        </is>
      </c>
      <c r="D111" t="inlineStr">
        <is>
          <t>e30c5310b726b3048828344ae73f62363123167e2db242463031f55a740af91c</t>
        </is>
      </c>
      <c r="E111" t="inlineStr">
        <is>
          <t>sources/IBA-2025-18-excerpt.pdf</t>
        </is>
      </c>
    </row>
    <row r="112">
      <c r="A112" t="inlineStr">
        <is>
          <t>OCA-followup-2023-12</t>
        </is>
      </c>
      <c r="B112" t="inlineStr">
        <is>
          <t>City Auditor Recommendation Follow-Up 2023-12</t>
        </is>
      </c>
      <c r="C112" t="inlineStr">
        <is>
          <t>https://www.sandiego.gov/sites/default/files/2024-03/recommendation-follow-up-report-period-ending-december-31-2023.pdf</t>
        </is>
      </c>
      <c r="D112" t="inlineStr">
        <is>
          <t>b989fc852064be190de38dd1dcca481bde8c82cf0978965b25886c22a488b398</t>
        </is>
      </c>
      <c r="E112" t="inlineStr">
        <is>
          <t>sources/OCA-followup-2023-12-excerpt.pdf</t>
        </is>
      </c>
    </row>
    <row r="113">
      <c r="A113" t="inlineStr">
        <is>
          <t>OCA-followup-2024-06</t>
        </is>
      </c>
      <c r="B113" t="inlineStr">
        <is>
          <t>City Auditor Recommendation Follow-Up 2024-06</t>
        </is>
      </c>
      <c r="C113" t="inlineStr">
        <is>
          <t>https://www.sandiego.gov/sites/default/files/2024-09/recommendation-follow-up-report-period-ending-june-30-2024.pdf</t>
        </is>
      </c>
      <c r="D113" t="inlineStr">
        <is>
          <t>7270a57c17cfdb926761ab5c764aa3d7cc2c14c328d536335dff04461946722c</t>
        </is>
      </c>
      <c r="E113" t="inlineStr">
        <is>
          <t>sources/OCA-followup-2024-06-excerpt.pdf</t>
        </is>
      </c>
    </row>
    <row r="114">
      <c r="A114" t="inlineStr">
        <is>
          <t>SDHC-2025-06-20</t>
        </is>
      </c>
      <c r="B114" t="inlineStr">
        <is>
          <t>San Diego Housing Commission Regular Meeting Minutes June20,2025</t>
        </is>
      </c>
      <c r="C114" t="inlineStr">
        <is>
          <t>https://sdhc.org/wp-content/uploads/2025/07/06.20.2025-SDHC-Regular-Meeting-Minutes.pdf</t>
        </is>
      </c>
      <c r="D114" t="inlineStr">
        <is>
          <t>01d2088e676319e045414f18a9e1b02bfbea28043cdfc7984b20c4359c1e3ff6</t>
        </is>
      </c>
      <c r="E114" t="inlineStr">
        <is>
          <t>sources/SDHC-2025-06-20-excerpt.pdf</t>
        </is>
      </c>
    </row>
    <row r="115">
      <c r="A115" t="inlineStr">
        <is>
          <t>SDHC-2025-07-18</t>
        </is>
      </c>
      <c r="B115" t="inlineStr">
        <is>
          <t>SDHC-2025-07-18 official original</t>
        </is>
      </c>
      <c r="C115" t="inlineStr">
        <is>
          <t>https://sdhc.org/wp-content/uploads/2025/09/07.18.2025-SDHC-Regular-Meeting-Minutes_final.pdf</t>
        </is>
      </c>
      <c r="D115" t="inlineStr">
        <is>
          <t>1c4b8b445f150d43e862631037bca41904085ee3dc53298197fe4ca33d9dd41c</t>
        </is>
      </c>
      <c r="E115" t="inlineStr">
        <is>
          <t>sources/SDHC-2025-07-18-excerpt.pdf</t>
        </is>
      </c>
    </row>
    <row r="116">
      <c r="A116" t="inlineStr">
        <is>
          <t>NR57670753</t>
        </is>
      </c>
      <c r="B116" t="inlineStr">
        <is>
          <t>FY 25 Progress Report - SBCS_Redacted (DRAFT).pdf</t>
        </is>
      </c>
      <c r="C116" t="inlineStr">
        <is>
          <t>https://sandiego.nextrequest.com/documents/57670753</t>
        </is>
      </c>
      <c r="D116" t="inlineStr">
        <is>
          <t>c14a78daa13c34867a1293b5c936561fa44320683f3eebf2b564c3644888dc41</t>
        </is>
      </c>
      <c r="E116" t="inlineStr">
        <is>
          <t>sources/NR57670753-excerpt.pdf</t>
        </is>
      </c>
    </row>
    <row r="117">
      <c r="A117" t="inlineStr">
        <is>
          <t>NR57670754</t>
        </is>
      </c>
      <c r="B117" t="inlineStr">
        <is>
          <t>FY 26 YTD Progress Report - SBCS_Redacted (DRAFT).pdf</t>
        </is>
      </c>
      <c r="C117" t="inlineStr">
        <is>
          <t>https://sandiego.nextrequest.com/documents/57670754</t>
        </is>
      </c>
      <c r="D117" t="inlineStr">
        <is>
          <t>6ed7e1d5e350a1981915db1fb7243d00741e485677d7b196ce8168e7410ae4b2</t>
        </is>
      </c>
      <c r="E117" t="inlineStr">
        <is>
          <t>sources/NR57670754-excerpt.pdf</t>
        </is>
      </c>
    </row>
    <row r="118">
      <c r="A118" t="inlineStr">
        <is>
          <t>DFC-2025-REPORT</t>
        </is>
      </c>
      <c r="B118" t="inlineStr">
        <is>
          <t>Dreams for Change. 2025 Annual Report; public provider publication.</t>
        </is>
      </c>
      <c r="C118" t="inlineStr">
        <is>
          <t>https://www.dreamsforchange.org/wp-content/uploads/2025-DFC-Annual-Report-1-2.pdf</t>
        </is>
      </c>
      <c r="D118" t="inlineStr">
        <is>
          <t>23ad03ce44b41dcc444963fa9e03f8412b3e91011630a3dcb6fe4f1da0ddb3c8</t>
        </is>
      </c>
      <c r="E118" t="inlineStr">
        <is>
          <t>sources/DFC-2025-REPORT-excerpt.pdf</t>
        </is>
      </c>
    </row>
    <row r="119">
      <c r="A119" t="inlineStr">
        <is>
          <t>NR60870769</t>
        </is>
      </c>
      <c r="B119" t="inlineStr">
        <is>
          <t>25-9337 responsive.pdf</t>
        </is>
      </c>
      <c r="C119" t="inlineStr">
        <is>
          <t>https://sandiego.nextrequest.com/documents/60870769</t>
        </is>
      </c>
      <c r="D119" t="inlineStr">
        <is>
          <t>90ea9d5b3383cecafb528337d24580950ff619488cad94de19623035054d12cf</t>
        </is>
      </c>
      <c r="E119" t="inlineStr">
        <is>
          <t>sources/NR60870769-excerpt.pdf</t>
        </is>
      </c>
    </row>
    <row r="120">
      <c r="A120" t="inlineStr">
        <is>
          <t>REQ25-9337JSON</t>
        </is>
      </c>
      <c r="B120" t="inlineStr">
        <is>
          <t>City of San Diego. Public request 25-9337: comprehensive Safe Sleeping report and correspondence.</t>
        </is>
      </c>
      <c r="C120" t="inlineStr">
        <is>
          <t>https://sandiego.nextrequest.com/client/requests/25-9337</t>
        </is>
      </c>
      <c r="D120" t="inlineStr">
        <is>
          <t>afbd423ba60203a0e4d0d67309db8e673be8a6ffca5093fab2f0cfee0b448a6d</t>
        </is>
      </c>
      <c r="E120" t="inlineStr">
        <is>
          <t>sources/REQ25-9337JSON.json</t>
        </is>
      </c>
    </row>
    <row r="121">
      <c r="A121" t="inlineStr">
        <is>
          <t>REQ25-9337TIMELINE</t>
        </is>
      </c>
      <c r="B121" t="inlineStr">
        <is>
          <t>City of San Diego. Public timeline for request 25-9337; March 18, 2026 closure and asserted draft exemption.</t>
        </is>
      </c>
      <c r="C121" t="inlineStr">
        <is>
          <t>https://sandiego.nextrequest.com/client/requests/25-9337/timeline</t>
        </is>
      </c>
      <c r="D121" t="inlineStr">
        <is>
          <t>1478ce05b5da046df83cb6e28e4a3263bc5c950bc2f7165e3bdab04da8d8b003</t>
        </is>
      </c>
      <c r="E121" t="inlineStr">
        <is>
          <t>sources/REQ25-9337TIMELINE.json</t>
        </is>
      </c>
    </row>
    <row r="122">
      <c r="A122" t="inlineStr">
        <is>
          <t>Docket931908</t>
        </is>
      </c>
      <c r="B122" t="inlineStr">
        <is>
          <t>Sole Source Request Dreams for Change Safe Sleeping Program</t>
        </is>
      </c>
      <c r="C122" t="inlineStr">
        <is>
          <t>https://sandiego.hylandcloud.com/211agendaonlinecouncil/Documents/ViewDocument/Sole%20Source%20Request%20Dreams%20for%20Change%20Safe%20Sleeping%20Program.pdf?meetingId=6203&amp;itemId=238402&amp;publishId=931908&amp;isSection=false&amp;documentType=Agenda</t>
        </is>
      </c>
      <c r="D122" t="inlineStr">
        <is>
          <t>9f971692990e1cd2fd7d0c1ab6765f17e6f7b9f2ceda21e390436bc0dbad516c</t>
        </is>
      </c>
      <c r="E122" t="inlineStr">
        <is>
          <t>sources/Docket931908-excerpt.pdf</t>
        </is>
      </c>
    </row>
    <row r="123">
      <c r="A123" t="inlineStr">
        <is>
          <t>R-315452</t>
        </is>
      </c>
      <c r="B123" t="inlineStr">
        <is>
          <t>Council Resolution R-315452, DfC 20th and B first amendment</t>
        </is>
      </c>
      <c r="C123" t="inlineStr">
        <is>
          <t>https://docs.sandiego.gov/council_reso_ordinance/rao2024/R-315452.pdf</t>
        </is>
      </c>
      <c r="D123" t="inlineStr">
        <is>
          <t>664699187f25d427f30da6534ce0ab8afb8949568032558e3099bdb9fbee5712</t>
        </is>
      </c>
      <c r="E123" t="inlineStr">
        <is>
          <t>sources/R-315452-excerpt.pdf</t>
        </is>
      </c>
    </row>
    <row r="124">
      <c r="A124" t="inlineStr">
        <is>
          <t>NR41965641</t>
        </is>
      </c>
      <c r="B124" t="inlineStr">
        <is>
          <t>PRA 25-516_HSSD_Conracts &amp; Amendments for O Lot &amp; 20B_Leticia Rodriguez.pdf</t>
        </is>
      </c>
      <c r="C124" t="inlineStr">
        <is>
          <t>https://sandiego.nextrequest.com/documents/41965641</t>
        </is>
      </c>
      <c r="D124" t="inlineStr">
        <is>
          <t>cb5088e93040495bdcd72a308df315977feab99ba0f78aa18264ff72c20aab39</t>
        </is>
      </c>
      <c r="E124" t="inlineStr">
        <is>
          <t>sources/NR41965641-excerpt.pdf</t>
        </is>
      </c>
    </row>
    <row r="125">
      <c r="A125" t="inlineStr">
        <is>
          <t>NR56369102</t>
        </is>
      </c>
      <c r="B125" t="inlineStr">
        <is>
          <t>URBAN CORPS ESD BILLING JULY 2023 DETAIL INVOICES.xlsx</t>
        </is>
      </c>
      <c r="C125" t="inlineStr">
        <is>
          <t>https://sandiego.nextrequest.com/documents/56369102</t>
        </is>
      </c>
      <c r="D125" t="inlineStr">
        <is>
          <t>0b89b0c55bd8edcf910e25d431df422ac7956166ab941e3fcd154203070e8929</t>
        </is>
      </c>
      <c r="E125" t="inlineStr">
        <is>
          <t>sources/NR56369102.xlsx</t>
        </is>
      </c>
    </row>
    <row r="126">
      <c r="A126" t="inlineStr">
        <is>
          <t>AP-Recovery-10090424-26-L</t>
        </is>
      </c>
      <c r="B126" t="inlineStr">
        <is>
          <t>Executed Moody Associates Accounts Payable Recovery Services contract 10090424-26-L</t>
        </is>
      </c>
      <c r="C126" t="inlineStr">
        <is>
          <t>https://www.sandiego.gov/sites/default/files/2026-07/10090424-26-l.pdf</t>
        </is>
      </c>
      <c r="D126" t="inlineStr">
        <is>
          <t>484904890c3f262acf7b0783e9225cedde48ac3d5cb114638192426c6c78b552</t>
        </is>
      </c>
      <c r="E126" t="inlineStr">
        <is>
          <t>sources/AP-Recovery-10090424-26-L-excerpt.pdf</t>
        </is>
      </c>
    </row>
    <row r="127">
      <c r="A127" t="inlineStr">
        <is>
          <t>NR57670541</t>
        </is>
      </c>
      <c r="B127" t="inlineStr">
        <is>
          <t>FY25 APR - Safe Sleeping 20th&amp;B.pdf</t>
        </is>
      </c>
      <c r="C127" t="inlineStr">
        <is>
          <t>https://sandiego.nextrequest.com/documents/57670541</t>
        </is>
      </c>
      <c r="D127" t="inlineStr">
        <is>
          <t>ac52bdb7c90a970256fd028c4f9ff9bb8a996c152a45733da9f5cc4449f20daa</t>
        </is>
      </c>
      <c r="E127" t="inlineStr">
        <is>
          <t>sources/NR57670541-excerpt.pdf</t>
        </is>
      </c>
    </row>
    <row r="128">
      <c r="A128" t="inlineStr">
        <is>
          <t>NR57670542</t>
        </is>
      </c>
      <c r="B128" t="inlineStr">
        <is>
          <t>FY25 APR - Safe Sleeping O Lot (DfC).pdf</t>
        </is>
      </c>
      <c r="C128" t="inlineStr">
        <is>
          <t>https://sandiego.nextrequest.com/documents/57670542</t>
        </is>
      </c>
      <c r="D128" t="inlineStr">
        <is>
          <t>7760e6cb9e4645ab8c60ffc7d34022f5185e5e6c2181d698f1a01cd54d1c155c</t>
        </is>
      </c>
      <c r="E128" t="inlineStr">
        <is>
          <t>sources/NR57670542-excerpt.pdf</t>
        </is>
      </c>
    </row>
    <row r="129">
      <c r="A129" t="inlineStr">
        <is>
          <t>NR57670544</t>
        </is>
      </c>
      <c r="B129" t="inlineStr">
        <is>
          <t>FY25 APR - Safe Sleeping O Lot (DSDP).pdf</t>
        </is>
      </c>
      <c r="C129" t="inlineStr">
        <is>
          <t>https://sandiego.nextrequest.com/documents/57670544</t>
        </is>
      </c>
      <c r="D129" t="inlineStr">
        <is>
          <t>3a5a0285c2ba2f9b007b0979304f51b88eb0c664d500d256a0ef5a389aa50b97</t>
        </is>
      </c>
      <c r="E129" t="inlineStr">
        <is>
          <t>sources/NR57670544-excerpt.pdf</t>
        </is>
      </c>
    </row>
    <row r="130">
      <c r="A130" t="inlineStr">
        <is>
          <t>BITFOCUS-APR-PARAMETERS</t>
        </is>
      </c>
      <c r="B130" t="inlineStr">
        <is>
          <t>Bitfocus. Clarity Human Services: APR report parameters and Enrollment CoC Filter.</t>
        </is>
      </c>
      <c r="C130" t="inlineStr">
        <is>
          <t>https://help.bitfocus.com/hudx-227-annual-performance-report</t>
        </is>
      </c>
      <c r="D130" t="inlineStr">
        <is>
          <t>975e1667ed93631bb806f6cd5cdb2444cba39f890cd4c717ea12de51cdc6ff1a</t>
        </is>
      </c>
      <c r="E130" t="inlineStr">
        <is>
          <t>sources/BITFOCUS-APR-PARAMETERS.html</t>
        </is>
      </c>
    </row>
    <row r="131">
      <c r="A131" t="inlineStr">
        <is>
          <t>NR57670456</t>
        </is>
      </c>
      <c r="B131" t="inlineStr">
        <is>
          <t>FY26 APR YTD - Safe Parking Mission Valley.pdf</t>
        </is>
      </c>
      <c r="C131" t="inlineStr">
        <is>
          <t>https://sandiego.nextrequest.com/documents/57670456</t>
        </is>
      </c>
      <c r="D131" t="inlineStr">
        <is>
          <t>7838acfed99aff663d2f3234abefd3b0c1ad70daa9b261a059e718c7615a7aaf</t>
        </is>
      </c>
      <c r="E131" t="inlineStr">
        <is>
          <t>sources/NR57670456-excerpt.pdf</t>
        </is>
      </c>
    </row>
    <row r="132">
      <c r="A132" t="inlineStr">
        <is>
          <t>NR51908262</t>
        </is>
      </c>
      <c r="B132" t="inlineStr">
        <is>
          <t>JHAT CHRT 5.25.pdf</t>
        </is>
      </c>
      <c r="C132" t="inlineStr">
        <is>
          <t>https://sandiego.nextrequest.com/documents/51908262</t>
        </is>
      </c>
      <c r="D132" t="inlineStr">
        <is>
          <t>17058689feee8dc20a04673ea0b272d0afaf0195568c4feea9d1fd6b5c3bd2ed</t>
        </is>
      </c>
      <c r="E132" t="inlineStr">
        <is>
          <t>sources/NR51908262-excerpt.pdf</t>
        </is>
      </c>
    </row>
    <row r="133">
      <c r="A133" t="inlineStr">
        <is>
          <t>NR51908269</t>
        </is>
      </c>
      <c r="B133" t="inlineStr">
        <is>
          <t>JHAT Imperial 10.24.pdf</t>
        </is>
      </c>
      <c r="C133" t="inlineStr">
        <is>
          <t>https://sandiego.nextrequest.com/documents/51908269</t>
        </is>
      </c>
      <c r="D133" t="inlineStr">
        <is>
          <t>a428d9f580372e354d1e41b7b4b9ea175063b5fe1ff12437de5dc24d55dbec2e</t>
        </is>
      </c>
      <c r="E133" t="inlineStr">
        <is>
          <t>sources/NR51908269-excerpt.pdf</t>
        </is>
      </c>
    </row>
    <row r="134">
      <c r="A134" t="inlineStr">
        <is>
          <t>NR51908306</t>
        </is>
      </c>
      <c r="B134" t="inlineStr">
        <is>
          <t>JHAT Travelodge 4.24.pdf</t>
        </is>
      </c>
      <c r="C134" t="inlineStr">
        <is>
          <t>https://sandiego.nextrequest.com/documents/51908306</t>
        </is>
      </c>
      <c r="D134" t="inlineStr">
        <is>
          <t>15aef5883cada979f4277334008384a2f640f0b763a07965d502c89b606c0e06</t>
        </is>
      </c>
      <c r="E134" t="inlineStr">
        <is>
          <t>sources/NR51908306-excerpt.pdf</t>
        </is>
      </c>
    </row>
    <row r="135">
      <c r="A135" t="inlineStr">
        <is>
          <t>NR51908367</t>
        </is>
      </c>
      <c r="B135" t="inlineStr">
        <is>
          <t>JHAT O Lot Tier 2 2.24.pdf</t>
        </is>
      </c>
      <c r="C135" t="inlineStr">
        <is>
          <t>https://sandiego.nextrequest.com/documents/51908367</t>
        </is>
      </c>
      <c r="D135" t="inlineStr">
        <is>
          <t>84c962359938e96f4ee705370d753b3c0a7ab77e384e421c66a7a1e6d9931e0c</t>
        </is>
      </c>
      <c r="E135" t="inlineStr">
        <is>
          <t>sources/NR51908367-excerpt.pdf</t>
        </is>
      </c>
    </row>
    <row r="136">
      <c r="A136" t="inlineStr">
        <is>
          <t>NR51908370</t>
        </is>
      </c>
      <c r="B136" t="inlineStr">
        <is>
          <t>JHAT O Lot Tier 2 2.25.pdf</t>
        </is>
      </c>
      <c r="C136" t="inlineStr">
        <is>
          <t>https://sandiego.nextrequest.com/documents/51908370</t>
        </is>
      </c>
      <c r="D136" t="inlineStr">
        <is>
          <t>a75df40fdbb6b014375a2e3969aacb93be3f53208d183eff4c0a80d544e21e53</t>
        </is>
      </c>
      <c r="E136" t="inlineStr">
        <is>
          <t>sources/NR51908370-excerpt.pdf</t>
        </is>
      </c>
    </row>
    <row r="137">
      <c r="A137" t="inlineStr">
        <is>
          <t>NR51908272</t>
        </is>
      </c>
      <c r="B137" t="inlineStr">
        <is>
          <t>JHAT Imperial 2.24.pdf</t>
        </is>
      </c>
      <c r="C137" t="inlineStr">
        <is>
          <t>https://sandiego.nextrequest.com/documents/51908272</t>
        </is>
      </c>
      <c r="D137" t="inlineStr">
        <is>
          <t>bf2a0608cab882f8bf85a26fdb74ad2b4bf53651a629f105fdd534f02c29d5ac</t>
        </is>
      </c>
      <c r="E137" t="inlineStr">
        <is>
          <t>sources/NR51908272-excerpt.pdf</t>
        </is>
      </c>
    </row>
    <row r="138">
      <c r="A138" t="inlineStr">
        <is>
          <t>NR51908274</t>
        </is>
      </c>
      <c r="B138" t="inlineStr">
        <is>
          <t>JHAT Imperial 3.24.pdf</t>
        </is>
      </c>
      <c r="C138" t="inlineStr">
        <is>
          <t>https://sandiego.nextrequest.com/documents/51908274</t>
        </is>
      </c>
      <c r="D138" t="inlineStr">
        <is>
          <t>aebfb40cf366993d981bdf3a06543bea4c64d69c92e208a42584b468498b88fa</t>
        </is>
      </c>
      <c r="E138" t="inlineStr">
        <is>
          <t>sources/NR51908274-excerpt.pdf</t>
        </is>
      </c>
    </row>
    <row r="139">
      <c r="A139" t="inlineStr">
        <is>
          <t>NR51908276</t>
        </is>
      </c>
      <c r="B139" t="inlineStr">
        <is>
          <t>JHAT Imperial 4.24.pdf</t>
        </is>
      </c>
      <c r="C139" t="inlineStr">
        <is>
          <t>https://sandiego.nextrequest.com/documents/51908276</t>
        </is>
      </c>
      <c r="D139" t="inlineStr">
        <is>
          <t>5863bbab19d9f5728539987631069e29b4e335e68ee3481c15d670a4c2148a2f</t>
        </is>
      </c>
      <c r="E139" t="inlineStr">
        <is>
          <t>sources/NR51908276-excerpt.pdf</t>
        </is>
      </c>
    </row>
    <row r="140">
      <c r="A140" t="inlineStr">
        <is>
          <t>NR51908265</t>
        </is>
      </c>
      <c r="B140" t="inlineStr">
        <is>
          <t>JHAT CHRT 7.24.pdf</t>
        </is>
      </c>
      <c r="C140" t="inlineStr">
        <is>
          <t>https://sandiego.nextrequest.com/documents/51908265</t>
        </is>
      </c>
      <c r="D140" t="inlineStr">
        <is>
          <t>f165a37c4385aaae049251e6586b18d5f4d23a33f930a348630d5fa81f3c54ed</t>
        </is>
      </c>
      <c r="E140" t="inlineStr">
        <is>
          <t>sources/NR51908265-excerpt.pdf</t>
        </is>
      </c>
    </row>
    <row r="141">
      <c r="A141" t="inlineStr">
        <is>
          <t>NR34425040</t>
        </is>
      </c>
      <c r="B141" t="inlineStr">
        <is>
          <t>O-Lot License Agreement - Downtown San Diego Partnership (Balboa Park) - Fully Executed.pdf</t>
        </is>
      </c>
      <c r="C141" t="inlineStr">
        <is>
          <t>https://sandiego.nextrequest.com/requests/24-3385</t>
        </is>
      </c>
      <c r="D141" t="inlineStr">
        <is>
          <t>90164b5b770d0f32ebe389aee44d18bf16d2e99192c5988da0cbd08a91a1381c</t>
        </is>
      </c>
      <c r="E141" t="inlineStr">
        <is>
          <t>sources/NR34425040-excerpt.pdf</t>
        </is>
      </c>
    </row>
    <row r="142">
      <c r="A142" t="inlineStr">
        <is>
          <t>NR34425044</t>
        </is>
      </c>
      <c r="B142" t="inlineStr">
        <is>
          <t>O-Lot License Agreement - Dreams for Change (Balboa Park) - Fully Executed.pdf</t>
        </is>
      </c>
      <c r="C142" t="inlineStr">
        <is>
          <t>https://sandiego.nextrequest.com/requests/24-3385</t>
        </is>
      </c>
      <c r="D142" t="inlineStr">
        <is>
          <t>b20d1b28e841e5a8e08d91d2a87ed510371d8f4ee9b32c8d84fc2d20318bf272</t>
        </is>
      </c>
      <c r="E142" t="inlineStr">
        <is>
          <t>sources/NR34425044-excerpt.pdf</t>
        </is>
      </c>
    </row>
    <row r="143">
      <c r="A143" t="inlineStr">
        <is>
          <t>RTFH-WAC2025</t>
        </is>
      </c>
      <c r="B143" t="inlineStr">
        <is>
          <t>Regional Task Force on Homelessness. 2025 WeAllCount locations and operator labels.</t>
        </is>
      </c>
      <c r="C143" t="inlineStr">
        <is>
          <t>https://www.rtfhsd.org/wp-content/uploads/2024/12/2025-WeAllCount-Regional-Flyer-City-of-San-Diego.pdf</t>
        </is>
      </c>
      <c r="D143" t="inlineStr">
        <is>
          <t>dccdaebc13b1ba5b73fb76e8dc15f8e566ccb6a7eeeac4663478dc3f0e004abe</t>
        </is>
      </c>
      <c r="E143" t="inlineStr">
        <is>
          <t>sources/RTFH-WAC2025-excerpt.pdf</t>
        </is>
      </c>
    </row>
    <row r="144">
      <c r="A144" t="inlineStr">
        <is>
          <t>NR56369088</t>
        </is>
      </c>
      <c r="B144" t="inlineStr">
        <is>
          <t>URBAN CORPS ESD BILLING AUG 2024 INV 24-02110 BILLING DETAIL.xlsx</t>
        </is>
      </c>
      <c r="C144" t="inlineStr">
        <is>
          <t>https://sandiego.nextrequest.com/documents/56369088</t>
        </is>
      </c>
      <c r="D144" t="inlineStr">
        <is>
          <t>143e248d47933e139c17ba23dc677477f3025643807979a5a97771d1d560e016</t>
        </is>
      </c>
      <c r="E144" t="inlineStr">
        <is>
          <t>sources/NR56369088.xlsx</t>
        </is>
      </c>
    </row>
    <row r="145">
      <c r="A145" t="inlineStr">
        <is>
          <t>NR56369089</t>
        </is>
      </c>
      <c r="B145" t="inlineStr">
        <is>
          <t>URBAN CORPS ESD BILLING AUG 2024 INV 24-02110 BILLING DETAIL-DM.xlsx</t>
        </is>
      </c>
      <c r="C145" t="inlineStr">
        <is>
          <t>https://sandiego.nextrequest.com/documents/56369089</t>
        </is>
      </c>
      <c r="D145" t="inlineStr">
        <is>
          <t>cd7e34cf13fc112bd6d97496386474ef4cecc19601035167fa41dd036ffaafec</t>
        </is>
      </c>
      <c r="E145" t="inlineStr">
        <is>
          <t>sources/NR56369089.xlsx</t>
        </is>
      </c>
    </row>
    <row r="146">
      <c r="A146" t="inlineStr">
        <is>
          <t>NR35389114</t>
        </is>
      </c>
      <c r="B146" t="inlineStr">
        <is>
          <t>Executed Contract_DfC Safe Sleeping Program Agreement.pdf</t>
        </is>
      </c>
      <c r="C146" t="inlineStr">
        <is>
          <t>https://sandiego.nextrequest.com/documents/35389114</t>
        </is>
      </c>
      <c r="D146" t="inlineStr">
        <is>
          <t>539ec7a74f9fd5ff3ba4cbfabafb09c4a1fa34f7baa35d1d4aa3e0616c41afbc</t>
        </is>
      </c>
      <c r="E146" t="inlineStr">
        <is>
          <t>sources/NR35389114-excerpt.pdf</t>
        </is>
      </c>
    </row>
    <row r="147">
      <c r="A147" t="inlineStr">
        <is>
          <t>NR64725515</t>
        </is>
      </c>
      <c r="B147" t="inlineStr">
        <is>
          <t>Executed First Amendment_Safe Sleeping for 20thB.pdf</t>
        </is>
      </c>
      <c r="C147" t="inlineStr">
        <is>
          <t>https://sandiego.nextrequest.com/documents/64725515</t>
        </is>
      </c>
      <c r="D147" t="inlineStr">
        <is>
          <t>54a79883f7f32f3640dd8243fa96c5c45b89460ecfb08a1930c815d3879aa595</t>
        </is>
      </c>
      <c r="E147" t="inlineStr">
        <is>
          <t>sources/NR64725515-excerpt.pdf</t>
        </is>
      </c>
    </row>
    <row r="148">
      <c r="A148" t="inlineStr">
        <is>
          <t>NR34425046</t>
        </is>
      </c>
      <c r="B148" t="inlineStr">
        <is>
          <t>Redacted Executed Contract_RFP 10090066-24-V, DSDP Safe Sleeping Program Operations.pdf</t>
        </is>
      </c>
      <c r="C148" t="inlineStr">
        <is>
          <t>https://sandiego.nextrequest.com/documents/34425046</t>
        </is>
      </c>
      <c r="D148" t="inlineStr">
        <is>
          <t>332478b6dba11dfd7ac7d6c4687b80517b384618a9723de85776d141125be890</t>
        </is>
      </c>
      <c r="E148" t="inlineStr">
        <is>
          <t>sources/NR34425046-excerpt.pdf</t>
        </is>
      </c>
    </row>
    <row r="149">
      <c r="A149" t="inlineStr">
        <is>
          <t>DSDP-FINANCIALS</t>
        </is>
      </c>
      <c r="B149" t="inlineStr">
        <is>
          <t>DSDP public financial statements and tax-return index</t>
        </is>
      </c>
      <c r="C149" t="inlineStr">
        <is>
          <t>https://downtownsandiego.org/about/financials/</t>
        </is>
      </c>
      <c r="D149" t="inlineStr">
        <is>
          <t>2ec3de2fc5760ee9c47d07ad493c0e74367d4674b2eade3031733ce0a1191a98</t>
        </is>
      </c>
      <c r="E149" t="inlineStr">
        <is>
          <t>sources/DSDP-FINANCIALS.html</t>
        </is>
      </c>
    </row>
    <row r="150">
      <c r="A150" t="inlineStr">
        <is>
          <t>DSDP-AUDIT-2021-2022</t>
        </is>
      </c>
      <c r="B150" t="inlineStr">
        <is>
          <t>View Audited 2021-2022 Financial Statements</t>
        </is>
      </c>
      <c r="C150" t="inlineStr">
        <is>
          <t>https://downtownsandiego.org/wp-content/uploads/2022/12/Downtown-San-Diego-Partnership-6.30.22-Audited-consolidated-financial-statements.pdf</t>
        </is>
      </c>
      <c r="D150" t="inlineStr">
        <is>
          <t>4c641574b3b86dd652cd009d59b2ab1361a8352eafe028f15f1f4eab847ad499</t>
        </is>
      </c>
      <c r="E150" t="inlineStr">
        <is>
          <t>sources/DSDP-AUDIT-2021-2022-excerpt.pdf</t>
        </is>
      </c>
    </row>
    <row r="151">
      <c r="A151" t="inlineStr">
        <is>
          <t>DSDP-FOUNDATION-990-FY2022</t>
        </is>
      </c>
      <c r="B151" t="inlineStr">
        <is>
          <t>Public reconstruction of IRS Form990, Foundation fiscal year ended June30 2022</t>
        </is>
      </c>
      <c r="C151" t="inlineStr">
        <is>
          <t>https://projects.propublica.org/nonprofits/full_text/202321729349300047/IRS990</t>
        </is>
      </c>
      <c r="D151" t="inlineStr">
        <is>
          <t>20312e8d9ec1a6c859a6dcc758e807ae9c867b577213e30a9ffb2775fc7cf2bd</t>
        </is>
      </c>
      <c r="E151" t="inlineStr">
        <is>
          <t>sources/DSDP-FOUNDATION-990-FY2022.html</t>
        </is>
      </c>
    </row>
    <row r="152">
      <c r="A152" t="inlineStr">
        <is>
          <t>REQ25-8927JSON</t>
        </is>
      </c>
      <c r="B152" t="inlineStr">
        <is>
          <t>City of San Diego. Request 25-8927: provider outcome reports; request and attachment inventory.</t>
        </is>
      </c>
      <c r="C152" t="inlineStr">
        <is>
          <t>https://sandiego.nextrequest.com/client/requests/25-8927</t>
        </is>
      </c>
      <c r="D152" t="inlineStr">
        <is>
          <t>53cdea04d66d2719f01b91002142554aa1ab6dabc333dbf7eb2c92d03ea05069</t>
        </is>
      </c>
      <c r="E152" t="inlineStr">
        <is>
          <t>sources/REQ25-8927JSON.json</t>
        </is>
      </c>
    </row>
    <row r="153">
      <c r="A153" t="inlineStr">
        <is>
          <t>REQ25-8927TIMELINE</t>
        </is>
      </c>
      <c r="B153" t="inlineStr">
        <is>
          <t>City of San Diego. Request 25-8927 public timeline; January 13, 2026 closure.</t>
        </is>
      </c>
      <c r="C153" t="inlineStr">
        <is>
          <t>https://sandiego.nextrequest.com/client/requests/25-8927/timeline</t>
        </is>
      </c>
      <c r="D153" t="inlineStr">
        <is>
          <t>1533cd0fb528cd87697a3752af14d0efdd227b1277ba7d67e59063f4df160b14</t>
        </is>
      </c>
      <c r="E153" t="inlineStr">
        <is>
          <t>sources/REQ25-8927TIMELINE.json</t>
        </is>
      </c>
    </row>
    <row r="154">
      <c r="A154" t="inlineStr">
        <is>
          <t>FJV-GOLDEN-FY23-BUDGET</t>
        </is>
      </c>
      <c r="B154" t="inlineStr">
        <is>
          <t>FY2023 Father Joe’s Villages Golden Hall detailed project budget, public SB 343 docket supplement</t>
        </is>
      </c>
      <c r="C154" t="inlineStr">
        <is>
          <t>https://sdhc.org/fy23-fjv-golden-hall-budget/</t>
        </is>
      </c>
      <c r="D154" t="inlineStr">
        <is>
          <t>1c551b7a5f3b54c103fa14d937a6fa65fdd79e278434dd984220081e1d6ed0b7</t>
        </is>
      </c>
      <c r="E154" t="inlineStr">
        <is>
          <t>sources/FJV-GOLDEN-FY23-BUDGET-excerpt.pdf</t>
        </is>
      </c>
    </row>
    <row r="155">
      <c r="A155" t="inlineStr">
        <is>
          <t>HAR22-021</t>
        </is>
      </c>
      <c r="B155" t="inlineStr">
        <is>
          <t>Housing Authority July 12, 2022 Golden Hall operating agreement report and unsigned HHI-22-57 contract attachment</t>
        </is>
      </c>
      <c r="C155" t="inlineStr">
        <is>
          <t>https://sdhc.org/har22-021-bridge-shelter/</t>
        </is>
      </c>
      <c r="D155" t="inlineStr">
        <is>
          <t>26e7ee911d954244bdfeb5a8285e03c2d0d69591ec7136b06c1be892d18fd7e7</t>
        </is>
      </c>
      <c r="E155" t="inlineStr">
        <is>
          <t>sources/HAR22-021-excerpt.pdf</t>
        </is>
      </c>
    </row>
    <row r="156">
      <c r="A156" t="inlineStr">
        <is>
          <t>HA-1956</t>
        </is>
      </c>
      <c r="B156" t="inlineStr">
        <is>
          <t>Final Housing Authority Resolution HA-1956, Golden Hall contract authorization, adopted July 12, 2022</t>
        </is>
      </c>
      <c r="C156" t="inlineStr">
        <is>
          <t>https://sdhc.org/ha-1956-bridge-shelter/</t>
        </is>
      </c>
      <c r="D156" t="inlineStr">
        <is>
          <t>daec7f958e06f4252a26c3cace0c961196d3396f87dd1a120ab14559dd72cb7b</t>
        </is>
      </c>
      <c r="E156" t="inlineStr">
        <is>
          <t>sources/HA-1956-excerpt.pdf</t>
        </is>
      </c>
    </row>
    <row r="157">
      <c r="A157" t="inlineStr">
        <is>
          <t>HCR22-068</t>
        </is>
      </c>
      <c r="B157" t="inlineStr">
        <is>
          <t>SDHC May 5, 2022 Rosecrans Sprung Structure Shelter operating agreement authorization report</t>
        </is>
      </c>
      <c r="C157" t="inlineStr">
        <is>
          <t>https://sdhc.org/hcr22-068-sprung-structure-shelter-program_final/</t>
        </is>
      </c>
      <c r="D157" t="inlineStr">
        <is>
          <t>b16d8d9dd551007ed069a1c2d62e2b799cbedc7d4dcc923a13e4412f96f1b8a2</t>
        </is>
      </c>
      <c r="E157" t="inlineStr">
        <is>
          <t>sources/HCR22-068-excerpt.pdf</t>
        </is>
      </c>
    </row>
    <row r="158">
      <c r="A158" t="inlineStr">
        <is>
          <t>SDHC-2022-05-05-MINUTES</t>
        </is>
      </c>
      <c r="B158" t="inlineStr">
        <is>
          <t>SDHC special meeting minutes May 5, 2022</t>
        </is>
      </c>
      <c r="C158" t="inlineStr">
        <is>
          <t>https://sdhc.org/wp-content/uploads/2022/06/5.5.2022-SDHC-Special-Meeting-Minutes.pdf</t>
        </is>
      </c>
      <c r="D158" t="inlineStr">
        <is>
          <t>393a2599ac667b3d9f6003542306ac34fe8374c7fb2a30135e3775996a208adb</t>
        </is>
      </c>
      <c r="E158" t="inlineStr">
        <is>
          <t>sources/SDHC-2022-05-05-MINUTES-excerpt.pdf</t>
        </is>
      </c>
    </row>
    <row r="159">
      <c r="A159" t="inlineStr">
        <is>
          <t>HERO-LEASE-PUBLIC</t>
        </is>
      </c>
      <c r="B159" t="inlineStr">
        <is>
          <t>City of San Diego and H.E.R.O. First Amendment to Commercial Lease CITY-934-A00; signed May 2025.</t>
        </is>
      </c>
      <c r="C159" t="inlineStr">
        <is>
          <t>https://eddwebfiles.sandiego.gov/Leases/Amendments/CITY-934-A00_LEGAL-DOCUMENTS.pdf</t>
        </is>
      </c>
      <c r="D159" t="inlineStr">
        <is>
          <t>11965eca86d21a5e5dc6d1b30b0443eb0643dac4ef4c6554561f61bab1eae1ae</t>
        </is>
      </c>
      <c r="E159" t="inlineStr">
        <is>
          <t>sources/HERO-LEASE-PUBLIC-excerpt.pdf</t>
        </is>
      </c>
    </row>
    <row r="160">
      <c r="A160" t="inlineStr">
        <is>
          <t>LEASES-CSV-CURRENT</t>
        </is>
      </c>
      <c r="B160" t="inlineStr">
        <is>
          <t>City of San Diego. City property leases, licenses and permits; current CSV acquired October 17, 2026.</t>
        </is>
      </c>
      <c r="C160" t="inlineStr">
        <is>
          <t>https://seshat.datasd.org/city_owned_properties_leases/city_property_leases_datasd.csv</t>
        </is>
      </c>
      <c r="D160" t="inlineStr">
        <is>
          <t>e58748d0b09318168dd84fb73bc48918edbf7c29cf4e15173d4310323af95d0f</t>
        </is>
      </c>
      <c r="E160" t="inlineStr">
        <is>
          <t>sources/LEASES-CSV-CURRENT.csv</t>
        </is>
      </c>
    </row>
    <row r="161">
      <c r="A161" t="inlineStr">
        <is>
          <t>DFC-2024-AGREEMENT</t>
        </is>
      </c>
      <c r="B161" t="inlineStr">
        <is>
          <t>City of San Diego and Jewish Family Service. Mission Valley site license; executed June 28, 2023.</t>
        </is>
      </c>
      <c r="C161" t="inlineStr">
        <is>
          <t>https://eddwebfiles.sandiego.gov/Leases/Agreements/LeaseFiles_N510GM004B00_05292024.pdf</t>
        </is>
      </c>
      <c r="D161" t="inlineStr">
        <is>
          <t>a55d86334867843473689a97578d4a44c27fa330e5f782ac47c7182369b669dc</t>
        </is>
      </c>
      <c r="E161" t="inlineStr">
        <is>
          <t>sources/DFC-2024-AGREEMENT-excerpt.pdf</t>
        </is>
      </c>
    </row>
    <row r="162">
      <c r="A162" t="inlineStr">
        <is>
          <t>NR34425039</t>
        </is>
      </c>
      <c r="B162" t="inlineStr">
        <is>
          <t>JFS License Agreement_Rose Canyon.pdf</t>
        </is>
      </c>
      <c r="C162" t="inlineStr">
        <is>
          <t>https://sandiego.nextrequest.com/requests/24-3385</t>
        </is>
      </c>
      <c r="D162" t="inlineStr">
        <is>
          <t>172b3346b74606c0b7b2a8a1c6d8546bccfdb70324b8bf19b479f2b7893174e0</t>
        </is>
      </c>
      <c r="E162" t="inlineStr">
        <is>
          <t>sources/NR34425039-excerpt.pdf</t>
        </is>
      </c>
    </row>
    <row r="163">
      <c r="A163" t="inlineStr">
        <is>
          <t>ACTUALS-CATALOG</t>
        </is>
      </c>
      <c r="B163" t="inlineStr">
        <is>
          <t>City of San Diego. Operating actuals open-data catalog; acquired October 17, 2026.</t>
        </is>
      </c>
      <c r="C163" t="inlineStr">
        <is>
          <t>https://data.sandiego.gov/datasets/operating-actuals/</t>
        </is>
      </c>
      <c r="D163" t="inlineStr">
        <is>
          <t>214b89ac2652245e68208732f3a98da95d9f18f769cb9db8c06b269b2d8cdc0a</t>
        </is>
      </c>
      <c r="E163" t="inlineStr">
        <is>
          <t>sources/ACTUALS-CATALOG.html</t>
        </is>
      </c>
    </row>
    <row r="164">
      <c r="A164" t="inlineStr">
        <is>
          <t>OPENGOV-API-REPORT-8082</t>
        </is>
      </c>
      <c r="B164" t="inlineStr">
        <is>
          <t>City of San Diego / OpenGov. Operating actuals report 8082; available fiscal years.</t>
        </is>
      </c>
      <c r="C164" t="inlineStr">
        <is>
          <t>https://budget.sandiego.gov/api/v1/reports/8082</t>
        </is>
      </c>
      <c r="D164" t="inlineStr">
        <is>
          <t>88f34e9267a3a1d4018232799c6de71884c83c60e0f9a87e2775ceae8ce7d7b8</t>
        </is>
      </c>
      <c r="E164" t="inlineStr">
        <is>
          <t>sources/OPENGOV-API-REPORT-8082.json</t>
        </is>
      </c>
    </row>
    <row r="165">
      <c r="A165" t="inlineStr">
        <is>
          <t>NR35389110</t>
        </is>
      </c>
      <c r="B165" t="inlineStr">
        <is>
          <t>2023 07-12 City SDHC MOU all signatures.pdf</t>
        </is>
      </c>
      <c r="C165" t="inlineStr">
        <is>
          <t>https://sandiego.nextrequest.com/documents/35389110</t>
        </is>
      </c>
      <c r="D165" t="inlineStr">
        <is>
          <t>4cd4bba7bef14d39033f6124c6fabc309604c7fb70ce797fb8823b272b0e808b</t>
        </is>
      </c>
      <c r="E165" t="inlineStr">
        <is>
          <t>sources/NR35389110-excerpt.pdf</t>
        </is>
      </c>
    </row>
    <row r="166">
      <c r="A166" t="inlineStr">
        <is>
          <t>NR57670451</t>
        </is>
      </c>
      <c r="B166" t="inlineStr">
        <is>
          <t>FY25 APR- Safe Parking H Barracks (SDPD).pdf</t>
        </is>
      </c>
      <c r="C166" t="inlineStr">
        <is>
          <t>https://sandiego.nextrequest.com/documents/57670451</t>
        </is>
      </c>
      <c r="D166" t="inlineStr">
        <is>
          <t>bab362a68f0622b0ce012c0f9a5c5dd4bae490d3e5235c698337d3dd607935de</t>
        </is>
      </c>
      <c r="E166" t="inlineStr">
        <is>
          <t>sources/NR57670451-excerpt.pdf</t>
        </is>
      </c>
    </row>
    <row r="167">
      <c r="A167" t="inlineStr">
        <is>
          <t>SDHC-CENTRAL-PARKING-HCR25-069</t>
        </is>
      </c>
      <c r="B167" t="inlineStr">
        <is>
          <t>SDHC. HCR25-069: Safe Parking Program at Central Elementary; October 30, 2025.</t>
        </is>
      </c>
      <c r="C167" t="inlineStr">
        <is>
          <t>https://sdhc.org/wp-content/uploads/2025/10/HCR25-069-Safe-Parking-Program.pdf</t>
        </is>
      </c>
      <c r="D167" t="inlineStr">
        <is>
          <t>58bfbf6aabdf4c4790fb221a02a9215731d826f94e74844a2fc665a556abd824</t>
        </is>
      </c>
      <c r="E167" t="inlineStr">
        <is>
          <t>sources/SDHC-CENTRAL-PARKING-HCR25-069-excerpt.pdf</t>
        </is>
      </c>
    </row>
    <row r="168">
      <c r="A168" t="inlineStr">
        <is>
          <t>SDHC-NOV7-2025-MINUTES</t>
        </is>
      </c>
      <c r="B168" t="inlineStr">
        <is>
          <t>SDHC. Special meeting minutes, November 7, 2025; Central Elementary approval.</t>
        </is>
      </c>
      <c r="C168" t="inlineStr">
        <is>
          <t>https://sdhc.org/11-7-2025-sdhc-special-meeting-minutes_final/</t>
        </is>
      </c>
      <c r="D168" t="inlineStr">
        <is>
          <t>fdc05237be77b3e16d4ce67f52f1d36b637a138c627cf6ee22bcb0e793931d23</t>
        </is>
      </c>
      <c r="E168" t="inlineStr">
        <is>
          <t>sources/SDHC-NOV7-2025-MINUTES-excerpt.pdf</t>
        </is>
      </c>
    </row>
    <row r="169">
      <c r="A169" t="inlineStr">
        <is>
          <t>IBA-26-11</t>
        </is>
      </c>
      <c r="B169" t="inlineStr">
        <is>
          <t>Independent Budget Analyst. Report 26-11: Review of the FY2027 Proposed Budget; April 2026.</t>
        </is>
      </c>
      <c r="C169" t="inlineStr">
        <is>
          <t>https://www.sandiego.gov/sites/default/files/2026-04/iba-report-26-11-review-of-the-fiscal-year-2027-proposed-budget_0.pdf</t>
        </is>
      </c>
      <c r="D169" t="inlineStr">
        <is>
          <t>6b4b28acb206c566450237f69baf38574044a4cae7611f3dcbdfc0819e3923bb</t>
        </is>
      </c>
      <c r="E169" t="inlineStr">
        <is>
          <t>sources/IBA-26-11-excerpt.pdf</t>
        </is>
      </c>
    </row>
    <row r="170">
      <c r="A170" t="inlineStr">
        <is>
          <t>CITY-FY27-SHELTER-ANNOUNCEMENT</t>
        </is>
      </c>
      <c r="B170" t="inlineStr">
        <is>
          <t>City of San Diego. FY2027 adopted budget sheltering announcement; June 16, 2026.</t>
        </is>
      </c>
      <c r="C170" t="inlineStr">
        <is>
          <t>https://www.insidesandiego.org/2700-sheltering-options-individuals-experiencing-homelessness-funded-fy-2027-budget</t>
        </is>
      </c>
      <c r="D170" t="inlineStr">
        <is>
          <t>3daa8c5fc5782890d411bb2305e76949a514760fedd5109947d1b5e596f92f17</t>
        </is>
      </c>
      <c r="E170" t="inlineStr">
        <is>
          <t>sources/CITY-FY27-SHELTER-ANNOUNCEMENT.html</t>
        </is>
      </c>
    </row>
    <row r="171">
      <c r="A171" t="inlineStr">
        <is>
          <t>CITY-SAFE-PARKING-CURRENT</t>
        </is>
      </c>
      <c r="B171" t="inlineStr">
        <is>
          <t>City of San Diego. Safe Parking Program locations; updated October 15, 2026.</t>
        </is>
      </c>
      <c r="C171" t="inlineStr">
        <is>
          <t>https://www.sandiego.gov/homelessness-strategies-and-solutions/services/safe-parking-program</t>
        </is>
      </c>
      <c r="D171" t="inlineStr">
        <is>
          <t>60e616fcfd77342836f72752765cad1fc833593dc9758bd2e639bb794f01aa15</t>
        </is>
      </c>
      <c r="E171" t="inlineStr">
        <is>
          <t>sources/CITY-SAFE-PARKING-CURRENT.html</t>
        </is>
      </c>
    </row>
    <row r="172">
      <c r="A172" t="inlineStr">
        <is>
          <t>NR55803124</t>
        </is>
      </c>
      <c r="B172" t="inlineStr">
        <is>
          <t>CD9 25-9336 Blake Nelson Responsive Records.pdf</t>
        </is>
      </c>
      <c r="C172" t="inlineStr">
        <is>
          <t>https://nextrequestdev.s3.amazonaws.com/sandiego/25-9336/13b4fd08-e219-4c0a-af1d-3cc44ab0534c.pdf</t>
        </is>
      </c>
      <c r="D172" t="inlineStr">
        <is>
          <t>d291db95506d07389dfe68556584abc82d7db7b9abecce0fd27d04d0f9ad10fa</t>
        </is>
      </c>
      <c r="E172" t="inlineStr">
        <is>
          <t>sources/NR55803124-excerpt.pdf</t>
        </is>
      </c>
    </row>
    <row r="173">
      <c r="A173" t="inlineStr">
        <is>
          <t>IBA-24-04</t>
        </is>
      </c>
      <c r="B173" t="inlineStr">
        <is>
          <t>Independent Budget Analyst. Report 24-04: FY2024 Mid-Year Budget Monitoring Review; February 2024.</t>
        </is>
      </c>
      <c r="C173" t="inlineStr">
        <is>
          <t>https://www.sandiego.gov/sites/default/files/2024-02/24-04_iba_review_of_the_fy_2024_mid-year_budget_monitoring_report.pdf</t>
        </is>
      </c>
      <c r="D173" t="inlineStr">
        <is>
          <t>376e81d9a860e9ef988d9f895c7879b4065368930c90a99b60c56ec9d2851673</t>
        </is>
      </c>
      <c r="E173" t="inlineStr">
        <is>
          <t>sources/IBA-24-04-excerpt.pdf</t>
        </is>
      </c>
    </row>
    <row r="174">
      <c r="A174" t="inlineStr">
        <is>
          <t>SDHC-PROCUREMENT-2024</t>
        </is>
      </c>
      <c r="B174" t="inlineStr">
        <is>
          <t>SDHC. Statement of Procurement Policy; effective July 30, 2024.</t>
        </is>
      </c>
      <c r="C174" t="inlineStr">
        <is>
          <t>https://sdhc.org/wp-content/uploads/2024/08/Procurement-Policy-Clean-Final-General-Counsel-Approved.pdf</t>
        </is>
      </c>
      <c r="D174" t="inlineStr">
        <is>
          <t>60c9a1cb5d39c12d954f6a0bc35a7304f9bd8257f8ddbff67b04f5d6a30eb62c</t>
        </is>
      </c>
      <c r="E174" t="inlineStr">
        <is>
          <t>sources/SDHC-PROCUREMENT-2024-excerpt.pdf</t>
        </is>
      </c>
    </row>
    <row r="175">
      <c r="A175" t="inlineStr">
        <is>
          <t>SDHC-GRANT-HCR26-025</t>
        </is>
      </c>
      <c r="B175" t="inlineStr">
        <is>
          <t>SDHC. HCR26-025: Semi-Annual Grant Report for July–December 2025; April 30, 2026.</t>
        </is>
      </c>
      <c r="C175" t="inlineStr">
        <is>
          <t>https://sdhc.org/wp-content/uploads/2026/04/INFO_HCR26-025-Semi-Annual-Grant-Report_final.pdf</t>
        </is>
      </c>
      <c r="D175" t="inlineStr">
        <is>
          <t>83530f7d7a3937f59393586faf8af25f19c1af230c211f672b89dd6b7a2a17ba</t>
        </is>
      </c>
      <c r="E175" t="inlineStr">
        <is>
          <t>sources/SDHC-GRANT-HCR26-025-excerpt.pdf</t>
        </is>
      </c>
    </row>
    <row r="176">
      <c r="A176" t="inlineStr">
        <is>
          <t>SDHC-RACHEL-EXPANSION-2026</t>
        </is>
      </c>
      <c r="B176" t="inlineStr">
        <is>
          <t>SDHC. Rachel’s Promise shelter expansion announcement; August 12, 2026.</t>
        </is>
      </c>
      <c r="C176" t="inlineStr">
        <is>
          <t>https://sdhc.org/news-release/rachels-promise-shelter-expansion/</t>
        </is>
      </c>
      <c r="D176" t="inlineStr">
        <is>
          <t>21734b735f552e999818f3bc627499489a0066cb0617a3f0645b031386d92d98</t>
        </is>
      </c>
      <c r="E176" t="inlineStr">
        <is>
          <t>sources/SDHC-RACHEL-EXPANSION-2026.html</t>
        </is>
      </c>
    </row>
    <row r="177">
      <c r="A177" t="inlineStr">
        <is>
          <t>NR34425020</t>
        </is>
      </c>
      <c r="B177" t="inlineStr">
        <is>
          <t>Contract_RFP 10089902-22-F_PATH San Diego (executed agreement).pdf</t>
        </is>
      </c>
      <c r="C177" t="inlineStr">
        <is>
          <t>https://sandiego.nextrequest.com/documents/34425020</t>
        </is>
      </c>
      <c r="D177" t="inlineStr">
        <is>
          <t>59cd64a965f39029154c43fa7cc9eb2e3afcd8279102cbf1a8c37aba3b90890f</t>
        </is>
      </c>
      <c r="E177" t="inlineStr">
        <is>
          <t>sources/NR34425020-excerpt.pdf</t>
        </is>
      </c>
    </row>
    <row r="178">
      <c r="A178" t="inlineStr">
        <is>
          <t>NR53645063-M08</t>
        </is>
      </c>
      <c r="B178" t="inlineStr">
        <is>
          <t>HHI-22-56 Agreement (Sprung Structure Shelter Program - Alpha Project).pdf</t>
        </is>
      </c>
      <c r="C178" t="inlineStr">
        <is>
          <t>https://sandiegohousingcommission.nextrequest.com/requests/25-182</t>
        </is>
      </c>
      <c r="D178" t="inlineStr">
        <is>
          <t>35c216affb0535b213558f35f0c3847cedaa944553c4f4621239d60387eddecf</t>
        </is>
      </c>
      <c r="E178" t="inlineStr">
        <is>
          <t>sources/NR53645063-M08-excerpt.pdf</t>
        </is>
      </c>
    </row>
    <row r="179">
      <c r="A179" t="inlineStr">
        <is>
          <t>NR53645063-M10</t>
        </is>
      </c>
      <c r="B179" t="inlineStr">
        <is>
          <t>HHI-22-56.2 Second Option  Second Amendment (Rosecrans Shelter - Alpha) Legal Approved  ROUTE.pdf</t>
        </is>
      </c>
      <c r="C179" t="inlineStr">
        <is>
          <t>https://sandiegohousingcommission.nextrequest.com/requests/25-182</t>
        </is>
      </c>
      <c r="D179" t="inlineStr">
        <is>
          <t>8d47e72f01fc8f57e495e15f460a921a757e7005e3088f072e41d1730befe93b</t>
        </is>
      </c>
      <c r="E179" t="inlineStr">
        <is>
          <t>sources/NR53645063-M10-excerpt.pdf</t>
        </is>
      </c>
    </row>
    <row r="180">
      <c r="A180" t="inlineStr">
        <is>
          <t>NR53645063-M09</t>
        </is>
      </c>
      <c r="B180" t="inlineStr">
        <is>
          <t>HHI-22-56.62 62-Day Extension  Third Amendment Sprung Shelter  - Alpha Project.pdf</t>
        </is>
      </c>
      <c r="C180" t="inlineStr">
        <is>
          <t>https://sandiegohousingcommission.nextrequest.com/requests/25-182</t>
        </is>
      </c>
      <c r="D180" t="inlineStr">
        <is>
          <t>147e8db8e13514089ddf51b7aca0c82d4161cc7d6a897b99811128416f830b6a</t>
        </is>
      </c>
      <c r="E180" t="inlineStr">
        <is>
          <t>sources/NR53645063-M09-excerpt.pdf</t>
        </is>
      </c>
    </row>
    <row r="181">
      <c r="A181" t="inlineStr">
        <is>
          <t>NR53645063-M15</t>
        </is>
      </c>
      <c r="B181" t="inlineStr">
        <is>
          <t>HHI-22-57.2 Second Option &amp; Second Amendment  Golden Hall Shelter - FJV.pdf</t>
        </is>
      </c>
      <c r="C181" t="inlineStr">
        <is>
          <t>https://sandiegohousingcommission.nextrequest.com/requests/25-182</t>
        </is>
      </c>
      <c r="D181" t="inlineStr">
        <is>
          <t>1c1d428af1f151c756b2a95ff204a80e05eeea05c79bb5476bf5259013e6784c</t>
        </is>
      </c>
      <c r="E181" t="inlineStr">
        <is>
          <t>sources/NR53645063-M15-excerpt.pdf</t>
        </is>
      </c>
    </row>
    <row r="182">
      <c r="A182" t="inlineStr">
        <is>
          <t>NR53645063-M14</t>
        </is>
      </c>
      <c r="B182" t="inlineStr">
        <is>
          <t>HHI-22-57.2 Fourth Amendment City AdultsSeniors Shelter Program_Executed.pdf</t>
        </is>
      </c>
      <c r="C182" t="inlineStr">
        <is>
          <t>https://sandiegohousingcommission.nextrequest.com/requests/25-182</t>
        </is>
      </c>
      <c r="D182" t="inlineStr">
        <is>
          <t>4170e281b6cc45393cd1ca8a851edaf4bcb71876b05a4bd2a50d8e20aa03ad3d</t>
        </is>
      </c>
      <c r="E182" t="inlineStr">
        <is>
          <t>sources/NR53645063-M14-excerpt.pdf</t>
        </is>
      </c>
    </row>
    <row r="183">
      <c r="A183" t="inlineStr">
        <is>
          <t>NR53645063-M16</t>
        </is>
      </c>
      <c r="B183" t="inlineStr">
        <is>
          <t>HHI-22-57.3 Third Option &amp; Third Amendment  Adult &amp; Seniors Shelter - FJV.pdf</t>
        </is>
      </c>
      <c r="C183" t="inlineStr">
        <is>
          <t>https://sandiegohousingcommission.nextrequest.com/requests/25-182</t>
        </is>
      </c>
      <c r="D183" t="inlineStr">
        <is>
          <t>47c64f0e5b4b7d5dd36feb7aa5a8b140470ddf00d05503d25b93450c5a10a782</t>
        </is>
      </c>
      <c r="E183" t="inlineStr">
        <is>
          <t>sources/NR53645063-M16-excerpt.pdf</t>
        </is>
      </c>
    </row>
    <row r="184">
      <c r="A184" t="inlineStr">
        <is>
          <t>NR53645063-M45</t>
        </is>
      </c>
      <c r="B184" t="inlineStr">
        <is>
          <t>HHI-24-18 Agreement (Bridge Shelter Newton - Alpha Project).pdf</t>
        </is>
      </c>
      <c r="C184" t="inlineStr">
        <is>
          <t>https://sandiegohousingcommission.nextrequest.com/requests/25-182</t>
        </is>
      </c>
      <c r="D184" t="inlineStr">
        <is>
          <t>648bfd585120b08aa47239de30f9113c4f32ad828a0dd5aa0d0800a549bf4f51</t>
        </is>
      </c>
      <c r="E184" t="inlineStr">
        <is>
          <t>sources/NR53645063-M45-excerpt.pdf</t>
        </is>
      </c>
    </row>
    <row r="185">
      <c r="A185" t="inlineStr">
        <is>
          <t>NR24157936</t>
        </is>
      </c>
      <c r="B185" t="inlineStr">
        <is>
          <t>[EXTERNAL] RE_ PAST DUE MONITORING REPORT- FY 2018 Father Joe's Villages Project.pdf</t>
        </is>
      </c>
      <c r="C185" t="inlineStr">
        <is>
          <t>https://sandiego.nextrequest.com/requests/23-2288</t>
        </is>
      </c>
      <c r="D185" t="inlineStr">
        <is>
          <t>555ed3d35b9504011fbaf5bc234c17bf77d58923355a39395e42136300b67f99</t>
        </is>
      </c>
    </row>
    <row r="186">
      <c r="A186" t="inlineStr">
        <is>
          <t>NR24158003</t>
        </is>
      </c>
      <c r="B186" t="inlineStr">
        <is>
          <t>FOURTH REQUEST- PAST DUE MONITORING RPT- FY18 FJV Project (Data Verification).pdf</t>
        </is>
      </c>
      <c r="C186" t="inlineStr">
        <is>
          <t>https://sandiego.nextrequest.com/requests/23-2288</t>
        </is>
      </c>
      <c r="D186" t="inlineStr">
        <is>
          <t>0729e533fdf24361c529eaf49c6f30c2af5a34c4829a7f6ab1ed2768a529f767</t>
        </is>
      </c>
    </row>
    <row r="187">
      <c r="A187" t="inlineStr">
        <is>
          <t>NR71540521</t>
        </is>
      </c>
      <c r="B187" t="inlineStr">
        <is>
          <t>PRA_26-10308.xlsx</t>
        </is>
      </c>
      <c r="C187" t="inlineStr">
        <is>
          <t>https://sandiego.nextrequest.com/documents/71540521</t>
        </is>
      </c>
      <c r="D187" t="inlineStr">
        <is>
          <t>62f4c4075fd8e9cff87a53356cfe4234f60923acb367d366a6f0d5fac82cd64d</t>
        </is>
      </c>
      <c r="E187" t="inlineStr">
        <is>
          <t>sources/NR71540521.xlsx</t>
        </is>
      </c>
    </row>
    <row r="188">
      <c r="A188" t="inlineStr">
        <is>
          <t>NR53645063-M07</t>
        </is>
      </c>
      <c r="B188" t="inlineStr">
        <is>
          <t>HHI-22-56.1 First Option and First Amendment (Sprung Structure Shelter Program - Alpha Project).pdf</t>
        </is>
      </c>
      <c r="C188" t="inlineStr">
        <is>
          <t>https://sandiegohousingcommission.nextrequest.com/requests/25-182</t>
        </is>
      </c>
      <c r="D188" t="inlineStr">
        <is>
          <t>60a1c8aa0252c743a244db092823d9d3e9bfdf791366ac41167b821173500346</t>
        </is>
      </c>
      <c r="E188" t="inlineStr">
        <is>
          <t>sources/NR53645063-M07-excerpt.pdf</t>
        </is>
      </c>
    </row>
    <row r="189">
      <c r="A189" t="inlineStr">
        <is>
          <t>NR53645063-M13</t>
        </is>
      </c>
      <c r="B189" t="inlineStr">
        <is>
          <t>HHI-22-57 Agreement (Golden Hall - FJV).pdf</t>
        </is>
      </c>
      <c r="C189" t="inlineStr">
        <is>
          <t>https://sandiegohousingcommission.nextrequest.com/requests/25-182</t>
        </is>
      </c>
      <c r="D189" t="inlineStr">
        <is>
          <t>8d033905297e30638d5887262d1b35a0ca5ab819c4b622bb6432ffbcf1a9b27c</t>
        </is>
      </c>
      <c r="E189" t="inlineStr">
        <is>
          <t>sources/NR53645063-M13-excerpt.pdf</t>
        </is>
      </c>
    </row>
    <row r="190">
      <c r="A190" t="inlineStr">
        <is>
          <t>NR53645063-M11</t>
        </is>
      </c>
      <c r="B190" t="inlineStr">
        <is>
          <t>HHI-22-57.1 First Option and First Amendment (Golden Hall - FJV).pdf</t>
        </is>
      </c>
      <c r="C190" t="inlineStr">
        <is>
          <t>https://sandiegohousingcommission.nextrequest.com/requests/25-182</t>
        </is>
      </c>
      <c r="D190" t="inlineStr">
        <is>
          <t>41299092818aeebb9f803b1f73ffa9cc6acd728e2261c1010a50ac50ed159f3b</t>
        </is>
      </c>
      <c r="E190" t="inlineStr">
        <is>
          <t>sources/NR53645063-M11-excerpt.pdf</t>
        </is>
      </c>
    </row>
    <row r="191">
      <c r="A191" t="inlineStr">
        <is>
          <t>NR53645063-M12</t>
        </is>
      </c>
      <c r="B191" t="inlineStr">
        <is>
          <t>HHI-22-57.1 Second Amendment to Golden Hall_Legal Approved_ROUTE.pdf</t>
        </is>
      </c>
      <c r="C191" t="inlineStr">
        <is>
          <t>https://sandiegohousingcommission.nextrequest.com/requests/25-182</t>
        </is>
      </c>
      <c r="D191" t="inlineStr">
        <is>
          <t>729b2b6377b1f768713645f1d521ccc267e1f9d6a26f6ca07da7a1bb7337a1a8</t>
        </is>
      </c>
      <c r="E191" t="inlineStr">
        <is>
          <t>sources/NR53645063-M12-excerpt.pdf</t>
        </is>
      </c>
    </row>
    <row r="192">
      <c r="A192" t="inlineStr">
        <is>
          <t>NR53645063-M21</t>
        </is>
      </c>
      <c r="B192" t="inlineStr">
        <is>
          <t>HHI-22-60 Agreement (Imperial Bridge Shelter - Alpha Project).pdf</t>
        </is>
      </c>
      <c r="C192" t="inlineStr">
        <is>
          <t>https://sandiegohousingcommission.nextrequest.com/requests/25-182</t>
        </is>
      </c>
      <c r="D192" t="inlineStr">
        <is>
          <t>6d2c46f57a16dbaebd6e33fa1413325e136796fce032fdd9965ebcf355c0a389</t>
        </is>
      </c>
      <c r="E192" t="inlineStr">
        <is>
          <t>sources/NR53645063-M21-excerpt.pdf</t>
        </is>
      </c>
    </row>
    <row r="193">
      <c r="A193" t="inlineStr">
        <is>
          <t>NR53645063-M22</t>
        </is>
      </c>
      <c r="B193" t="inlineStr">
        <is>
          <t>HHI-22-60.1 First Option and First Amendment (Imperial Bridge Shelter - Alpha Project).pdf</t>
        </is>
      </c>
      <c r="C193" t="inlineStr">
        <is>
          <t>https://sandiegohousingcommission.nextrequest.com/requests/25-182</t>
        </is>
      </c>
      <c r="D193" t="inlineStr">
        <is>
          <t>19505e3bdfbef2111e7280e610a55b7d83ea0e7c2ffbbd1e349581ce5154d344</t>
        </is>
      </c>
      <c r="E193" t="inlineStr">
        <is>
          <t>sources/NR53645063-M22-excerpt.pdf</t>
        </is>
      </c>
    </row>
    <row r="194">
      <c r="A194" t="inlineStr">
        <is>
          <t>NR53645063-M24</t>
        </is>
      </c>
      <c r="B194" t="inlineStr">
        <is>
          <t>HHI-22-60.2 Second Option  Second Amendment (17th  Imp Shelter - Alpha)_LEGAL APPROVED  ROUTE.pdf</t>
        </is>
      </c>
      <c r="C194" t="inlineStr">
        <is>
          <t>https://sandiegohousingcommission.nextrequest.com/requests/25-182</t>
        </is>
      </c>
      <c r="D194" t="inlineStr">
        <is>
          <t>6e60d817f9159434d894b6aad6f5956d1cdd738cff2db778caf179b20704820d</t>
        </is>
      </c>
      <c r="E194" t="inlineStr">
        <is>
          <t>sources/NR53645063-M24-excerpt.pdf</t>
        </is>
      </c>
    </row>
    <row r="195">
      <c r="A195" t="inlineStr">
        <is>
          <t>NR53645063-M23</t>
        </is>
      </c>
      <c r="B195" t="inlineStr">
        <is>
          <t>HHI-22-60.3 Third Option &amp; Third Amendment  Imperial Shelter - Alpha Project.pdf</t>
        </is>
      </c>
      <c r="C195" t="inlineStr">
        <is>
          <t>https://sandiegohousingcommission.nextrequest.com/requests/25-182</t>
        </is>
      </c>
      <c r="D195" t="inlineStr">
        <is>
          <t>3e31ec07522e8488ee5dc0c6a7e837b8c41e6d9a7efed6488beb2d865ca8a2c3</t>
        </is>
      </c>
      <c r="E195" t="inlineStr">
        <is>
          <t>sources/NR53645063-M23-excerpt.pdf</t>
        </is>
      </c>
    </row>
    <row r="196">
      <c r="A196" t="inlineStr">
        <is>
          <t>NR53645063-M46</t>
        </is>
      </c>
      <c r="B196" t="inlineStr">
        <is>
          <t>HHI-24-18.1 First Option  First Amendment 16th  Newton Shelter - Alpha.pdf</t>
        </is>
      </c>
      <c r="C196" t="inlineStr">
        <is>
          <t>https://sandiegohousingcommission.nextrequest.com/requests/25-182</t>
        </is>
      </c>
      <c r="D196" t="inlineStr">
        <is>
          <t>50e75f36428c8ce15e262b95155a89faf0d11bfcca711497b30b654f7adcc2dd</t>
        </is>
      </c>
      <c r="E196" t="inlineStr">
        <is>
          <t>sources/NR53645063-M46-excerpt.pdf</t>
        </is>
      </c>
    </row>
    <row r="197">
      <c r="A197" t="inlineStr">
        <is>
          <t>NR53645063-M61</t>
        </is>
      </c>
      <c r="B197" t="inlineStr">
        <is>
          <t>HHI-26-18 Agreement  Newton Shelter - Alpha Project  EXECUTED.pdf</t>
        </is>
      </c>
      <c r="C197" t="inlineStr">
        <is>
          <t>https://sandiegohousingcommission.nextrequest.com/requests/25-182</t>
        </is>
      </c>
      <c r="D197" t="inlineStr">
        <is>
          <t>7504d368052eb8a516f45555db134f8b1b9ff22b1dee57d7f737174be5a954d9</t>
        </is>
      </c>
      <c r="E197" t="inlineStr">
        <is>
          <t>sources/NR53645063-M61-excerpt.pdf</t>
        </is>
      </c>
    </row>
    <row r="198">
      <c r="A198" t="inlineStr">
        <is>
          <t>FPPC-NEIL-STIP</t>
        </is>
      </c>
      <c r="B198" t="inlineStr">
        <is>
          <t>FPPC. James N. Neil, case 2022-00716: conflict-of-interest stipulation; February 2023.</t>
        </is>
      </c>
      <c r="C198" t="inlineStr">
        <is>
          <t>https://www.fppc.ca.gov/content/dam/fppc/documents/Stipulations/2023/february/4-Jim-Neil-Stip.pdf</t>
        </is>
      </c>
      <c r="D198" t="inlineStr">
        <is>
          <t>f09043b3894af7a13ad32dc52eaafbc6f71e923880758da66d09b4a74e4fae7f</t>
        </is>
      </c>
      <c r="E198" t="inlineStr">
        <is>
          <t>sources/FPPC-NEIL-STIP-excerpt.pdf</t>
        </is>
      </c>
    </row>
    <row r="199">
      <c r="A199" t="inlineStr">
        <is>
          <t>FPPC-NEIL-APPROVAL</t>
        </is>
      </c>
      <c r="B199" t="inlineStr">
        <is>
          <t>FPPC. Enforcement decisions approved February 16, 2023.</t>
        </is>
      </c>
      <c r="C199" t="inlineStr">
        <is>
          <t>https://www.fppc.ca.gov/siteassets/documents/media_center/2023/Enf_Decisions_021623.pdf</t>
        </is>
      </c>
      <c r="D199" t="inlineStr">
        <is>
          <t>a14f00ee0e2cb242a20493d87287db53e426407a8d3637d6f9c92f8b0621c92c</t>
        </is>
      </c>
      <c r="E199" t="inlineStr">
        <is>
          <t>sources/FPPC-NEIL-APPROVAL-excerpt.pdf</t>
        </is>
      </c>
    </row>
    <row r="200">
      <c r="A200" t="inlineStr">
        <is>
          <t>SDHC-HAR22-026</t>
        </is>
      </c>
      <c r="B200" t="inlineStr">
        <is>
          <t>SDHC. HAR22-026: Hotel-acquisition litigation settlement; August 15, 2022.</t>
        </is>
      </c>
      <c r="C200" t="inlineStr">
        <is>
          <t>https://sdhc.org/wp-content/uploads/2022/09/HAR22-026-Litigation-Settlement.pdf</t>
        </is>
      </c>
      <c r="D200" t="inlineStr">
        <is>
          <t>fae5cfc9f4f7ef6d694d3161df1b5a85f66ee976495154b011ba4812f950739f</t>
        </is>
      </c>
      <c r="E200" t="inlineStr">
        <is>
          <t>sources/SDHC-HAR22-026-excerpt.pdf</t>
        </is>
      </c>
    </row>
    <row r="201">
      <c r="A201" t="inlineStr">
        <is>
          <t>OCA24-09</t>
        </is>
      </c>
      <c r="B201" t="inlineStr">
        <is>
          <t>City Auditor. Performance Audit of SDHC’s Property Acquisition Process, OCA-24-09; March 2024.</t>
        </is>
      </c>
      <c r="C201" t="inlineStr">
        <is>
          <t>https://www.sandiego.gov/sites/default/files/2024-03/24-09-performance-audit-of-the-san-diego-housing-commissions-property-acquisition-process.pdf</t>
        </is>
      </c>
      <c r="D201" t="inlineStr">
        <is>
          <t>bbbda428ac2f721439d9d417d4c1a8939401f8892e1a2f1f163f942a192282bb</t>
        </is>
      </c>
      <c r="E201" t="inlineStr">
        <is>
          <t>sources/OCA24-09-excerpt.pdf</t>
        </is>
      </c>
    </row>
    <row r="202">
      <c r="A202" t="inlineStr">
        <is>
          <t>OCA25-02</t>
        </is>
      </c>
      <c r="B202" t="inlineStr">
        <is>
          <t>City Auditor. Performance Audit of the City’s Contract Management Process, OCA-25-02; July 2024.</t>
        </is>
      </c>
      <c r="C202" t="inlineStr">
        <is>
          <t>https://www.sandiego.gov/sites/default/files/2024-07/25-02-performance-audit-of-the-city-s-contract-management-process.pdf</t>
        </is>
      </c>
      <c r="D202" t="inlineStr">
        <is>
          <t>99e921ff26960022504625b0abebbfddf5de8bfe9b0f56066020d053b0b67743</t>
        </is>
      </c>
      <c r="E202" t="inlineStr">
        <is>
          <t>sources/OCA25-02-excerpt.pdf</t>
        </is>
      </c>
    </row>
    <row r="203">
      <c r="A203" t="inlineStr">
        <is>
          <t>CITY-FY25-CAPER</t>
        </is>
      </c>
      <c r="B203" t="inlineStr">
        <is>
          <t>FY25 CAPER</t>
        </is>
      </c>
      <c r="C203" t="inlineStr">
        <is>
          <t>https://www.sandiego.gov/sites/default/files/2025-09/city-of-san-diego-fy-2025-caper.pdf</t>
        </is>
      </c>
      <c r="D203" t="inlineStr">
        <is>
          <t>f5a713989a4809eda3f25608192e23b7c765225c8506e22d85ef7d72a5abcbc3</t>
        </is>
      </c>
      <c r="E203" t="inlineStr">
        <is>
          <t>sources/CITY-FY25-CAPER-excerpt.pdf</t>
        </is>
      </c>
    </row>
    <row r="204">
      <c r="A204" t="inlineStr">
        <is>
          <t>CITY-FY26-CAPER</t>
        </is>
      </c>
      <c r="B204" t="inlineStr">
        <is>
          <t>FY26 CAPER</t>
        </is>
      </c>
      <c r="C204" t="inlineStr">
        <is>
          <t>https://www.sandiego.gov/sites/default/files/2026-09/fy26caper.pdf</t>
        </is>
      </c>
      <c r="D204" t="inlineStr">
        <is>
          <t>68c296e942a1c21f0f77d8208240befec33bf97ca93c176e7027af0b13137d31</t>
        </is>
      </c>
      <c r="E204" t="inlineStr">
        <is>
          <t>sources/CITY-FY26-CAPER-excerpt.pdf</t>
        </is>
      </c>
    </row>
    <row r="205">
      <c r="A205" t="inlineStr">
        <is>
          <t>NR53645063-M50</t>
        </is>
      </c>
      <c r="B205" t="inlineStr">
        <is>
          <t>HHI-24-27 Agreement (City Family Shelter Program - Alpha Project).pdf</t>
        </is>
      </c>
      <c r="C205" t="inlineStr">
        <is>
          <t>https://sandiegohousingcommission.nextrequest.com/requests/25-182</t>
        </is>
      </c>
      <c r="D205" t="inlineStr">
        <is>
          <t>9fde2bd76bb7fbc11b4f3c017cfd9c7bceab3f44f0b60ead46a5181ec218df6e</t>
        </is>
      </c>
      <c r="E205" t="inlineStr">
        <is>
          <t>sources/NR53645063-M50-excerpt.pdf</t>
        </is>
      </c>
    </row>
    <row r="206">
      <c r="A206" t="inlineStr">
        <is>
          <t>NR53645063-M52</t>
        </is>
      </c>
      <c r="B206" t="inlineStr">
        <is>
          <t>HHI-24-27.1 First Option &amp; Second Amendment (City Family Shelter Program - Alpha) (1).docx.pdf</t>
        </is>
      </c>
      <c r="C206" t="inlineStr">
        <is>
          <t>https://sandiegohousingcommission.nextrequest.com/requests/25-182</t>
        </is>
      </c>
      <c r="D206" t="inlineStr">
        <is>
          <t>c330189dc82ec0b4bfabe1e0f6de26fd17d4487d1bad86588d42b1ac81dab97d</t>
        </is>
      </c>
      <c r="E206" t="inlineStr">
        <is>
          <t>sources/NR53645063-M52-excerpt.pdf</t>
        </is>
      </c>
    </row>
    <row r="207">
      <c r="A207" t="inlineStr">
        <is>
          <t>NR53645063-M62</t>
        </is>
      </c>
      <c r="B207" t="inlineStr">
        <is>
          <t>HHI-25-49 Agreement  Family Shelter Program - Alpha Project EXECUTED.pdf</t>
        </is>
      </c>
      <c r="C207" t="inlineStr">
        <is>
          <t>https://sandiegohousingcommission.nextrequest.com/requests/25-182</t>
        </is>
      </c>
      <c r="D207" t="inlineStr">
        <is>
          <t>f5155d7a8fe29fbbe1056c8ba5f7a4acb78ab209dbbcff584dcb55277396812f</t>
        </is>
      </c>
      <c r="E207" t="inlineStr">
        <is>
          <t>sources/NR53645063-M62-excerpt.pdf</t>
        </is>
      </c>
    </row>
    <row r="208">
      <c r="A208" t="inlineStr">
        <is>
          <t>SDHC-SHELTER-DASHBOARD-2026-08</t>
        </is>
      </c>
      <c r="B208" t="inlineStr">
        <is>
          <t>SDHC shelter dashboard: July1–August31,2026 published snapshot</t>
        </is>
      </c>
      <c r="C208" t="inlineStr">
        <is>
          <t>https://public.tableau.com/static/images/SD/SDHCandCityofSanDiegoHomelessServicesProgramsOverview/Shelters/1.png</t>
        </is>
      </c>
      <c r="D208" t="inlineStr">
        <is>
          <t>1324a9381128212c64b79863aea7c5deea82642e49284e3ec32bffa2f8c97638</t>
        </is>
      </c>
      <c r="E208" t="inlineStr">
        <is>
          <t>sources/SDHC-SHELTER-DASHBOARD-2026-08.png</t>
        </is>
      </c>
    </row>
    <row r="209">
      <c r="A209" t="inlineStr">
        <is>
          <t>SDHC-DASHBOARD-WELCOME-2026-08</t>
        </is>
      </c>
      <c r="B209" t="inlineStr">
        <is>
          <t>SDHC and City homelessness programs dashboard: Welcome snapshot, data through August31,2026</t>
        </is>
      </c>
      <c r="C209" t="inlineStr">
        <is>
          <t>https://public.tableau.com/static/images/SD/SDHCandCityofSanDiegoHomelessServicesProgramsOverview/Welcome/1.png</t>
        </is>
      </c>
      <c r="D209" t="inlineStr">
        <is>
          <t>321346642bcad67a85e92737a5477929c529a69d9fa0cebcc43011701af75f10</t>
        </is>
      </c>
      <c r="E209" t="inlineStr">
        <is>
          <t>sources/SDHC-DASHBOARD-WELCOME-2026-08.png</t>
        </is>
      </c>
    </row>
    <row r="210">
      <c r="A210" t="inlineStr">
        <is>
          <t>CITY-FY24-SINGLE-AUDIT</t>
        </is>
      </c>
      <c r="B210" t="inlineStr">
        <is>
          <t>City-FY24-Single-Audit.pdf</t>
        </is>
      </c>
      <c r="C210" t="inlineStr">
        <is>
          <t>https://www.sandiego.gov/sites/default/files/2025-03/fiscal-year-ended-june-30-2024.pdf</t>
        </is>
      </c>
      <c r="D210" t="inlineStr">
        <is>
          <t>efa2d9e2a71d7cce8b955eaad6eeafa7c6f977158c736b8753b1c1431420968e</t>
        </is>
      </c>
      <c r="E210" t="inlineStr">
        <is>
          <t>sources/CITY-FY24-SINGLE-AUDIT-excerpt.pdf</t>
        </is>
      </c>
    </row>
    <row r="211">
      <c r="A211" t="inlineStr">
        <is>
          <t>CITY-FY25-SINGLE-AUDIT</t>
        </is>
      </c>
      <c r="B211" t="inlineStr">
        <is>
          <t>City-FY25-Single-Audit.pdf</t>
        </is>
      </c>
      <c r="C211" t="inlineStr">
        <is>
          <t>https://www.sandiego.gov/sites/default/files/2026-04/fiscal-year-ended-june-30-2025.pdf</t>
        </is>
      </c>
      <c r="D211" t="inlineStr">
        <is>
          <t>dfe79eb9e0993de7243d1df114fa736630e6c1292cfb8a10993c3e06134af27a</t>
        </is>
      </c>
      <c r="E211" t="inlineStr">
        <is>
          <t>sources/CITY-FY25-SINGLE-AUDIT-excerpt.pdf</t>
        </is>
      </c>
    </row>
    <row r="212">
      <c r="A212" t="inlineStr">
        <is>
          <t>SDHC-FY25-AUDIT-PACKET</t>
        </is>
      </c>
      <c r="B212" t="inlineStr">
        <is>
          <t>SDHC-FY25-Single-Audit-Board-Packet.pdf</t>
        </is>
      </c>
      <c r="C212" t="inlineStr">
        <is>
          <t>https://sdhc.org/wp-content/uploads/2026/01/103_HCR26-001-FY25-ACFR-and-Single-Audit.final_.pdf</t>
        </is>
      </c>
      <c r="D212" t="inlineStr">
        <is>
          <t>ca7156457e3d79cf509f59dd3e304a38caea5ac5ca815401e9d35a41e4fcc19d</t>
        </is>
      </c>
      <c r="E212" t="inlineStr">
        <is>
          <t>sources/SDHC-FY25-AUDIT-PACKET-excerpt.pdf</t>
        </is>
      </c>
    </row>
    <row r="213">
      <c r="A213" t="inlineStr">
        <is>
          <t>CITY-FINAL-FY23-CAPER</t>
        </is>
      </c>
      <c r="B213" t="inlineStr">
        <is>
          <t>final FY23 CAPER</t>
        </is>
      </c>
      <c r="C213" t="inlineStr">
        <is>
          <t>https://www.sandiego.gov/sites/default/files/fy_23_caper_-_final.pdf</t>
        </is>
      </c>
      <c r="D213" t="inlineStr">
        <is>
          <t>feb2527975a42993c942c54081b79c553cc0f7c310194aad4dc2a6d8682a62ce</t>
        </is>
      </c>
      <c r="E213" t="inlineStr">
        <is>
          <t>sources/CITY-FINAL-FY23-CAPER-excerpt.pdf</t>
        </is>
      </c>
    </row>
    <row r="214">
      <c r="A214" t="inlineStr">
        <is>
          <t>CITY-FY24-CAPER</t>
        </is>
      </c>
      <c r="B214" t="inlineStr">
        <is>
          <t>City-FY24-CAPER.pdf</t>
        </is>
      </c>
      <c r="C214" t="inlineStr">
        <is>
          <t>https://www.sandiego.gov/sites/default/files/2024-09/city-of-san-diego-final-fy-2024-caper_1.pdf</t>
        </is>
      </c>
      <c r="D214" t="inlineStr">
        <is>
          <t>02f10dc89b07b5524e7be1d05f7813112623f546f7029eb75a06e40d8aafe60f</t>
        </is>
      </c>
      <c r="E214" t="inlineStr">
        <is>
          <t>sources/CITY-FY24-CAPER-excerpt.pdf</t>
        </is>
      </c>
    </row>
    <row r="215">
      <c r="A215" t="inlineStr">
        <is>
          <t>SDHC-FAMILY-OPEN-2023</t>
        </is>
      </c>
      <c r="B215" t="inlineStr">
        <is>
          <t>SDHC family opening 2023</t>
        </is>
      </c>
      <c r="C215" t="inlineStr">
        <is>
          <t>https://sdhc.org/news-release/mayor-gloria-housing-commission-announce-opening-of-new-family-shelter/</t>
        </is>
      </c>
      <c r="D215" t="inlineStr">
        <is>
          <t>056b134943c2469783545abeb359ce0129d47c4fd70c54a667f724568f94748d</t>
        </is>
      </c>
      <c r="E215" t="inlineStr">
        <is>
          <t>sources/SDHC-FAMILY-OPEN-2023.html</t>
        </is>
      </c>
    </row>
    <row r="216">
      <c r="A216" t="inlineStr">
        <is>
          <t>SDHC-FAMILY-MINUTES-2023</t>
        </is>
      </c>
      <c r="B216" t="inlineStr">
        <is>
          <t>SDHC September2023 minutes</t>
        </is>
      </c>
      <c r="C216" t="inlineStr">
        <is>
          <t>https://sdhc.org/wp-content/uploads/2023/10/9.15.2023-SDHC-Regular-Meeting-Minutes.pdf</t>
        </is>
      </c>
      <c r="D216" t="inlineStr">
        <is>
          <t>9ce86549dac4f1c7e6b533355fa18b8c80b8b7355f77cf110d41fcfacd13276d</t>
        </is>
      </c>
      <c r="E216" t="inlineStr">
        <is>
          <t>sources/SDHC-FAMILY-MINUTES-2023-excerpt.pdf</t>
        </is>
      </c>
    </row>
    <row r="217">
      <c r="A217" t="inlineStr">
        <is>
          <t>CITY-FY25-CAPER-TABLES</t>
        </is>
      </c>
      <c r="B217" t="inlineStr">
        <is>
          <t>FY25 CAPER goal tables</t>
        </is>
      </c>
      <c r="C217" t="inlineStr">
        <is>
          <t>https://www.sandiego.gov/sites/default/files/2025-09/fy25-caper-conplan-goal-tables.pdf</t>
        </is>
      </c>
      <c r="D217" t="inlineStr">
        <is>
          <t>1d32fc1c96c03d2dc93d42b1cd8ce08c511a69d960d21bdce73958e653bd7fe7</t>
        </is>
      </c>
      <c r="E217" t="inlineStr">
        <is>
          <t>sources/CITY-FY25-CAPER-TABLES-excerpt.pdf</t>
        </is>
      </c>
    </row>
    <row r="218">
      <c r="A218" t="inlineStr">
        <is>
          <t>SDHC-DASHBOARD-PAGE-2026-10-18</t>
        </is>
      </c>
      <c r="B218" t="inlineStr">
        <is>
          <t>SDHC official homelessness programs dashboard page</t>
        </is>
      </c>
      <c r="C218" t="inlineStr">
        <is>
          <t>https://sdhc.org/homelessness-solutions/city-homeless-shelters-services/dashboard/</t>
        </is>
      </c>
      <c r="D218" t="inlineStr">
        <is>
          <t>eb1a4b11ba82f118b95dd5ab26c3ea497df2e59ed18aa09f6a9149b64bfc1f00</t>
        </is>
      </c>
      <c r="E218" t="inlineStr">
        <is>
          <t>sources/SDHC-DASHBOARD-PAGE-2026-10-18.html</t>
        </is>
      </c>
    </row>
    <row r="219">
      <c r="A219" t="inlineStr">
        <is>
          <t>NR53645063-M34</t>
        </is>
      </c>
      <c r="B219" t="inlineStr">
        <is>
          <t>HHI-23-35.2 Second Option Second Amendment (Connections Interim Shelter - PATH) LEGAL APPROVED  ROUT.pdf</t>
        </is>
      </c>
      <c r="C219" t="inlineStr">
        <is>
          <t>https://sandiegohousingcommission.nextrequest.com/requests/25-182</t>
        </is>
      </c>
      <c r="D219" t="inlineStr">
        <is>
          <t>aa28e175d960b5fe5da7873cf01e26414ed67e13e89d4d57ac52f559646c8d25</t>
        </is>
      </c>
      <c r="E219" t="inlineStr">
        <is>
          <t>sources/NR53645063-M34-excerpt.pdf</t>
        </is>
      </c>
    </row>
    <row r="220">
      <c r="A220" t="inlineStr">
        <is>
          <t>SDHC-CONNECTIONS-HCR25-046</t>
        </is>
      </c>
      <c r="B220" t="inlineStr">
        <is>
          <t>SDHC Connections Housing FY2026 funding amendment report, July18,2025</t>
        </is>
      </c>
      <c r="C220" t="inlineStr">
        <is>
          <t>https://sdhc.org/102_hcr25-046-path-connections-interim-housing_final/</t>
        </is>
      </c>
      <c r="D220" t="inlineStr">
        <is>
          <t>1aac64cb05d42128ccf4d73da72f68c05ac4770f4a55838408560de702bcc587</t>
        </is>
      </c>
      <c r="E220" t="inlineStr">
        <is>
          <t>sources/SDHC-CONNECTIONS-HCR25-046-excerpt.pdf</t>
        </is>
      </c>
    </row>
    <row r="221">
      <c r="A221" t="inlineStr">
        <is>
          <t>SDHC-CSIP-2026-08</t>
        </is>
      </c>
      <c r="B221" t="inlineStr">
        <is>
          <t>SDHC. At-a-Glance Homelessness Solutions. August 31, 2026 update.</t>
        </is>
      </c>
      <c r="C221" t="inlineStr">
        <is>
          <t>https://sdhc.org/wp-content/uploads/2022/12/SDHC-at-a-glance-homelessness-solutions.pdf</t>
        </is>
      </c>
      <c r="D221" t="inlineStr">
        <is>
          <t>d0b0ba69371765c1164898bca3d86e66b66717afdb85d30987eb18e81034f587</t>
        </is>
      </c>
      <c r="E221" t="inlineStr">
        <is>
          <t>sources/SDHC-CSIP-2026-08.pdf</t>
        </is>
      </c>
    </row>
    <row r="222">
      <c r="A222" t="inlineStr">
        <is>
          <t>EXP-CITY-FY25-MIDYEAR</t>
        </is>
      </c>
      <c r="B222" t="inlineStr">
        <is>
          <t>HSSD FY2025 Midyear Memo</t>
        </is>
      </c>
      <c r="C222" t="inlineStr">
        <is>
          <t>https://www.sandiego.gov/sites/default/files/2025-01/fy2025-mid-year-budget-monitoring-report.pdf</t>
        </is>
      </c>
      <c r="D222" t="inlineStr">
        <is>
          <t>042d1f926579063182ba9c4e7b520dc02cf8c970b8df3673e0b9435c443469b8</t>
        </is>
      </c>
      <c r="E222" t="inlineStr">
        <is>
          <t>sources/EXP-CITY-FY25-MIDYEAR-excerpt.pdf</t>
        </is>
      </c>
    </row>
    <row r="223">
      <c r="A223" t="inlineStr">
        <is>
          <t>EXP-CITY-FY25-Q3</t>
        </is>
      </c>
      <c r="B223" t="inlineStr">
        <is>
          <t>CITY FY2025 Q3</t>
        </is>
      </c>
      <c r="C223" t="inlineStr">
        <is>
          <t>https://www.sandiego.gov/sites/default/files/2025-05/fy2025-third-quarter-budget-monitoring-report.pdf</t>
        </is>
      </c>
      <c r="D223" t="inlineStr">
        <is>
          <t>bc9c746d69569f4c8a375b167b521445902535838d2e99c1f4bc01aa565fa1a8</t>
        </is>
      </c>
      <c r="E223" t="inlineStr">
        <is>
          <t>sources/EXP-CITY-FY25-Q3-excerpt.pdf</t>
        </is>
      </c>
    </row>
    <row r="224">
      <c r="A224" t="inlineStr">
        <is>
          <t>EXP-CITY-FY26-MIDYEAR</t>
        </is>
      </c>
      <c r="B224" t="inlineStr">
        <is>
          <t>CITY FY2026 MIDYEAR</t>
        </is>
      </c>
      <c r="C224" t="inlineStr">
        <is>
          <t>https://www.sandiego.gov/sites/default/files/2026-01/fy2026-mid-year-budget-monitoring-report.pdf</t>
        </is>
      </c>
      <c r="D224" t="inlineStr">
        <is>
          <t>4b2725a4b5dbe7ac41179144ad444be2281da43d0a8b7359209c2ad1a5dc6787</t>
        </is>
      </c>
      <c r="E224" t="inlineStr">
        <is>
          <t>sources/EXP-CITY-FY26-MIDYEAR-excerpt.pdf</t>
        </is>
      </c>
    </row>
    <row r="225">
      <c r="A225" t="inlineStr">
        <is>
          <t>EXP-CITY-FY26-Q3</t>
        </is>
      </c>
      <c r="B225" t="inlineStr">
        <is>
          <t>CITY FY2026 Q3</t>
        </is>
      </c>
      <c r="C225" t="inlineStr">
        <is>
          <t>https://www.sandiego.gov/sites/default/files/2026-05/fy2026-third-quarter-budget-monitoring-report.pdf</t>
        </is>
      </c>
      <c r="D225" t="inlineStr">
        <is>
          <t>9b5b10ba67793bdb4a2bcadf25bcc725cbbc313599112457aa21998454b1b361</t>
        </is>
      </c>
      <c r="E225" t="inlineStr">
        <is>
          <t>sources/EXP-CITY-FY26-Q3-excerpt.pdf</t>
        </is>
      </c>
    </row>
    <row r="226">
      <c r="A226" t="inlineStr">
        <is>
          <t>EXP-CITY-FY25-YEAREND</t>
        </is>
      </c>
      <c r="B226" t="inlineStr">
        <is>
          <t>CITY FY2025 YEAREND</t>
        </is>
      </c>
      <c r="C226" t="inlineStr">
        <is>
          <t>https://www.sandiego.gov/sites/default/files/2025-10/fy25-year-end-financial-performance-report.pdf</t>
        </is>
      </c>
      <c r="D226" t="inlineStr">
        <is>
          <t>8747bdaa875e4e2bcadcfea84f8849e090af86cc288097ef8f4f9ce678ad2b86</t>
        </is>
      </c>
      <c r="E226" t="inlineStr">
        <is>
          <t>sources/EXP-CITY-FY25-YEAREND-excerpt.pdf</t>
        </is>
      </c>
    </row>
    <row r="227">
      <c r="A227" t="inlineStr">
        <is>
          <t>EXP-FJV-VILLAGE-AUDIT-2024</t>
        </is>
      </c>
      <c r="B227" t="inlineStr">
        <is>
          <t>FJV Village Audit 2024</t>
        </is>
      </c>
      <c r="C227" t="inlineStr">
        <is>
          <t>https://my.neighbor.org/wp-content/uploads/2025/10/Village-Inc.-2024-fst-1231-EV-Final-SHORT.pdf</t>
        </is>
      </c>
      <c r="D227" t="inlineStr">
        <is>
          <t>1176ae7572e6bcd076af666de23662568bce3b6398a2614418be5d53efd617d2</t>
        </is>
      </c>
      <c r="E227" t="inlineStr">
        <is>
          <t>sources/EXP-FJV-VILLAGE-AUDIT-2024-excerpt.pdf</t>
        </is>
      </c>
    </row>
    <row r="228">
      <c r="A228" t="inlineStr">
        <is>
          <t>EXP-FJV-MANAGEMENT-AUDIT-2024</t>
        </is>
      </c>
      <c r="B228" t="inlineStr">
        <is>
          <t>FJV Management Audit 2024</t>
        </is>
      </c>
      <c r="C228" t="inlineStr">
        <is>
          <t>https://my.neighbor.org/wp-content/uploads/2025/10/SVDP-Management-2024-fst-1231-short-EV-Final.pdf</t>
        </is>
      </c>
      <c r="D228" t="inlineStr">
        <is>
          <t>3aa44262ef760b4018321f768b0bf0f33f604eeac43966c2ff7f1e9088a45e9b</t>
        </is>
      </c>
      <c r="E228" t="inlineStr">
        <is>
          <t>sources/EXP-FJV-MANAGEMENT-AUDIT-2024-excerpt.pdf</t>
        </is>
      </c>
    </row>
    <row r="229">
      <c r="A229" t="inlineStr">
        <is>
          <t>EXP-FJV-DATA-NOTICE-2025</t>
        </is>
      </c>
      <c r="B229" t="inlineStr">
        <is>
          <t>FJV Data Notice 2025</t>
        </is>
      </c>
      <c r="C229" t="inlineStr">
        <is>
          <t>https://my.neighbor.org/wp-content/uploads/2025/08/SVDP-Website-Notice-Final-August-2025.pdf</t>
        </is>
      </c>
      <c r="D229" t="inlineStr">
        <is>
          <t>d70bbd8d8fd97cd8864ee94ac78a7d0c8113a6d38c4aa6339e8f47d08235eb32</t>
        </is>
      </c>
      <c r="E229" t="inlineStr">
        <is>
          <t>sources/EXP-FJV-DATA-NOTICE-2025-excerpt.pdf</t>
        </is>
      </c>
    </row>
    <row r="230">
      <c r="A230" t="inlineStr">
        <is>
          <t>EXP-CAAG-FJV-SAMPLE-NOTICE-2025</t>
        </is>
      </c>
      <c r="B230" t="inlineStr">
        <is>
          <t>CAAG FJV Sample Notice 2025</t>
        </is>
      </c>
      <c r="C230" t="inlineStr">
        <is>
          <t>https://oag.ca.gov/system/files/S.V.D.P.%20Management%2C%20Inc.%20-%20Notice%20of%20Data%20Event%20-%20CA_0.pdf</t>
        </is>
      </c>
      <c r="D230" t="inlineStr">
        <is>
          <t>8cdf9f6555574a08ab121a2a485e94164ddbe39d88d7d9e53c1dc281f9046d89</t>
        </is>
      </c>
      <c r="E230" t="inlineStr">
        <is>
          <t>sources/EXP-CAAG-FJV-SAMPLE-NOTICE-2025-excerpt.pdf</t>
        </is>
      </c>
    </row>
    <row r="231">
      <c r="A231" t="inlineStr">
        <is>
          <t>EXP-IBA25-06-MIDYEAR</t>
        </is>
      </c>
      <c r="B231" t="inlineStr">
        <is>
          <t>IBA25 06 Midyear</t>
        </is>
      </c>
      <c r="C231" t="inlineStr">
        <is>
          <t>https://www.sandiego.gov/sites/default/files/2025-02/25-06-iba-review-of-the-fy-2025-mid-year-budget-monitoring-report_2.pdf</t>
        </is>
      </c>
      <c r="D231" t="inlineStr">
        <is>
          <t>c40afafcc356aa837f17d9763d9a2b4156bad28f178579a7b3ef14d4c063ae95</t>
        </is>
      </c>
      <c r="E231" t="inlineStr">
        <is>
          <t>sources/EXP-IBA25-06-MIDYEAR-excerpt.pdf</t>
        </is>
      </c>
    </row>
    <row r="232">
      <c r="A232" t="inlineStr">
        <is>
          <t>EXP-R315907-PLHA</t>
        </is>
      </c>
      <c r="B232" t="inlineStr">
        <is>
          <t>R 315907 PLHA</t>
        </is>
      </c>
      <c r="C232" t="inlineStr">
        <is>
          <t>https://docs.sandiego.gov/council_reso_ordinance/rao2024/R-315907.pdf</t>
        </is>
      </c>
      <c r="D232" t="inlineStr">
        <is>
          <t>0bc2f5df3502e614f10df87fed30ef4e84779b59b5502a30f4227a3172085127</t>
        </is>
      </c>
      <c r="E232" t="inlineStr">
        <is>
          <t>sources/EXP-R315907-PLHA-excerpt.pdf</t>
        </is>
      </c>
    </row>
    <row r="233">
      <c r="A233" t="inlineStr">
        <is>
          <t>EXP-IBA24-18-KETTNER</t>
        </is>
      </c>
      <c r="B233" t="inlineStr">
        <is>
          <t>IBA24 18 Kettner</t>
        </is>
      </c>
      <c r="C233" t="inlineStr">
        <is>
          <t>https://www.sandiego.gov/sites/default/files/2024-07/24-18-iba-report.pdf</t>
        </is>
      </c>
      <c r="D233" t="inlineStr">
        <is>
          <t>21673c2e22f3997cb98f43f8b93592df5b410312a92a6bfdd741cae48e0092bd</t>
        </is>
      </c>
      <c r="E233" t="inlineStr">
        <is>
          <t>sources/EXP-IBA24-18-KETTNER-excerpt.pdf</t>
        </is>
      </c>
    </row>
    <row r="234">
      <c r="A234" t="inlineStr">
        <is>
          <t>EXP-RC2024-4-KETTNER</t>
        </is>
      </c>
      <c r="B234" t="inlineStr">
        <is>
          <t>RC 2024 4 Kettner</t>
        </is>
      </c>
      <c r="C234" t="inlineStr">
        <is>
          <t>https://docs.sandiego.gov/cityattorneyreports/RC-2024-4.pdf</t>
        </is>
      </c>
      <c r="D234" t="inlineStr">
        <is>
          <t>4e316360631ea6dc82a2d2c4f4e9d0f9ad4240308d0351ce0a45fdc6f98e20fa</t>
        </is>
      </c>
      <c r="E234" t="inlineStr">
        <is>
          <t>sources/EXP-RC2024-4-KETTNER-excerpt.pdf</t>
        </is>
      </c>
    </row>
    <row r="235">
      <c r="A235" t="inlineStr">
        <is>
          <t>EXP-IBA24-33-Q1</t>
        </is>
      </c>
      <c r="B235" t="inlineStr">
        <is>
          <t>IBA24 33 Q1</t>
        </is>
      </c>
      <c r="C235" t="inlineStr">
        <is>
          <t>https://www.sandiego.gov/sites/default/files/2024-12/24-33-rev-iba-review-of-the-fy-2025-first-quarter-budget-monitoring-report.pdf</t>
        </is>
      </c>
      <c r="D235" t="inlineStr">
        <is>
          <t>3e2837ee25bb94d7631dbf16a954576eebd8f9a27ac5507cc450c128cf5683ad</t>
        </is>
      </c>
      <c r="E235" t="inlineStr">
        <is>
          <t>sources/EXP-IBA24-33-Q1-excerpt.pdf</t>
        </is>
      </c>
    </row>
    <row r="236">
      <c r="A236" t="inlineStr">
        <is>
          <t>EXP-KETTNER-WITHDRAWAL-2025</t>
        </is>
      </c>
      <c r="B236" t="inlineStr">
        <is>
          <t>Kettner withdrawal Mayor</t>
        </is>
      </c>
      <c r="C236" t="inlineStr">
        <is>
          <t>https://www.sandiego.gov/mayor/kettner-and-vine-shelter-campus-update-alternate-sites-announced</t>
        </is>
      </c>
      <c r="D236" t="inlineStr">
        <is>
          <t>17ce5819e03d6a049e34c2be08bd3c405495d45fc3564a8535a3edafce9f92ca</t>
        </is>
      </c>
    </row>
    <row r="237">
      <c r="A237" t="inlineStr">
        <is>
          <t>EXP-R316166-CDBG</t>
        </is>
      </c>
      <c r="B237" t="inlineStr">
        <is>
          <t>R 316166 CDBG</t>
        </is>
      </c>
      <c r="C237" t="inlineStr">
        <is>
          <t>https://docs.sandiego.gov/council_reso_ordinance/rao2025/R-316166.pdf</t>
        </is>
      </c>
      <c r="D237" t="inlineStr">
        <is>
          <t>a02f04fbe0cdd64b938ac92d85c3da1e4434cc84dab81a6fa8a455a5759bd9e0</t>
        </is>
      </c>
      <c r="E237" t="inlineStr">
        <is>
          <t>sources/EXP-R316166-CDBG-excerpt.pdf</t>
        </is>
      </c>
    </row>
    <row r="238">
      <c r="A238" t="inlineStr">
        <is>
          <t>EXP-SDHC-GRANT-2025H1</t>
        </is>
      </c>
      <c r="B238" t="inlineStr">
        <is>
          <t>SDHC Grant Report 2025H1</t>
        </is>
      </c>
      <c r="C238" t="inlineStr">
        <is>
          <t>https://sdhc.org/wp-content/uploads/2025/10/INFO_HCR25-054_Semi-Annual-Grant-Report.pdf</t>
        </is>
      </c>
      <c r="D238" t="inlineStr">
        <is>
          <t>feb2ca1ceec50be2716868c3e9f42f2d875fdd5f9a58d3f63e4b6833f7e0f215</t>
        </is>
      </c>
      <c r="E238" t="inlineStr">
        <is>
          <t>sources/EXP-SDHC-GRANT-2025H1-excerpt.pdf</t>
        </is>
      </c>
    </row>
    <row r="239">
      <c r="A239" t="inlineStr">
        <is>
          <t>EXP-SDHC-MINUTES-2025-10-10</t>
        </is>
      </c>
      <c r="B239" t="inlineStr">
        <is>
          <t>SDHC Minutes 2025 10 10</t>
        </is>
      </c>
      <c r="C239" t="inlineStr">
        <is>
          <t>https://sdhc.org/wp-content/uploads/2025/10/10.10.2025-SDHC-Regular-Meeting-Minutes_final.pdf</t>
        </is>
      </c>
      <c r="D239" t="inlineStr">
        <is>
          <t>365976e73b11c29afa80a95e9580f7a5e5fa98070227ba8adc7129a9fc6f57d0</t>
        </is>
      </c>
      <c r="E239" t="inlineStr">
        <is>
          <t>sources/EXP-SDHC-MINUTES-2025-10-10-excerpt.pdf</t>
        </is>
      </c>
    </row>
    <row r="240">
      <c r="A240" t="inlineStr">
        <is>
          <t>EXP-IBA25-34-YEAREND</t>
        </is>
      </c>
      <c r="B240" t="inlineStr">
        <is>
          <t>IBA25 34 Yearend</t>
        </is>
      </c>
      <c r="C240" t="inlineStr">
        <is>
          <t>https://www.sandiego.gov/sites/default/files/2025-10/25-34-iba-review-of-fy-2025-year-end-financial-performance-report.pdf</t>
        </is>
      </c>
      <c r="D240" t="inlineStr">
        <is>
          <t>82b2a054c572c951c5934136264581b39ae2af6a312d6463e493cfbe01530ed1</t>
        </is>
      </c>
      <c r="E240" t="inlineStr">
        <is>
          <t>sources/EXP-IBA25-34-YEAREND-excerpt.pdf</t>
        </is>
      </c>
    </row>
    <row r="241">
      <c r="A241" t="inlineStr">
        <is>
          <t>CITY-FY25-ESG-SAGE</t>
        </is>
      </c>
      <c r="B241" t="inlineStr">
        <is>
          <t>FY25 ESG CAPER SAGE report</t>
        </is>
      </c>
      <c r="C241" t="inlineStr">
        <is>
          <t>https://www.sandiego.gov/sites/default/files/2025-09/attachment-3-fy-2025-caper-esg-sage-report.pdf</t>
        </is>
      </c>
      <c r="D241" t="inlineStr">
        <is>
          <t>38826919805a93c2762e5ae8dc3c43604956564b1d9b65bd1e17ff02eed75078</t>
        </is>
      </c>
      <c r="E241" t="inlineStr">
        <is>
          <t>sources/CITY-FY25-ESG-SAGE-excerpt.pdf</t>
        </is>
      </c>
    </row>
    <row r="242">
      <c r="A242" t="inlineStr">
        <is>
          <t>NR53645063-M06</t>
        </is>
      </c>
      <c r="B242" t="inlineStr">
        <is>
          <t>Signed HHI-21-03.4 Fourth Option and Fifth Amendment, FY2025 PMC Interim Housing</t>
        </is>
      </c>
      <c r="C242" t="inlineStr">
        <is>
          <t>https://sdhc.nextrequest.com/documents/53645063</t>
        </is>
      </c>
      <c r="D242" t="inlineStr">
        <is>
          <t>cb264d9f9b274292b2edc9c4a94ee3edaf3feac07515774f94037ac2b6dece64</t>
        </is>
      </c>
      <c r="E242" t="inlineStr">
        <is>
          <t>sources/NR53645063-M06-excerpt.pdf</t>
        </is>
      </c>
    </row>
    <row r="243">
      <c r="A243" t="inlineStr">
        <is>
          <t>EXP-SDUSD-CENTRAL-APPROVAL</t>
        </is>
      </c>
      <c r="B243" t="inlineStr">
        <is>
          <t>SDUSD Central Approval</t>
        </is>
      </c>
      <c r="C243" t="inlineStr">
        <is>
          <t>https://www.sandiegounified.org/cms/One.aspx?pageId=225028906&amp;portalId=27738440</t>
        </is>
      </c>
      <c r="D243" t="inlineStr">
        <is>
          <t>6032762d0ae69590feb318e86a6f7bc12f87a1bb420c81f4d074528a6134b877</t>
        </is>
      </c>
    </row>
    <row r="244">
      <c r="A244" t="inlineStr">
        <is>
          <t>EXP-CDE-CENTRAL-CURRENT</t>
        </is>
      </c>
      <c r="B244" t="inlineStr">
        <is>
          <t>CDE Central Current</t>
        </is>
      </c>
      <c r="C244" t="inlineStr">
        <is>
          <t>https://www.cde.ca.gov/sdprofile/details.aspx?cds=37683386039366</t>
        </is>
      </c>
      <c r="D244" t="inlineStr">
        <is>
          <t>b7c5fcf49e23af5fb4b61abbf1b1f8a38841e22182eb400e7614aa2282a59a4f</t>
        </is>
      </c>
    </row>
    <row r="245">
      <c r="A245" t="inlineStr">
        <is>
          <t>SDHC-JUL9-2026-LANDING</t>
        </is>
      </c>
      <c r="B245" t="inlineStr">
        <is>
          <t>SDHC-JUL9-2026-LANDING</t>
        </is>
      </c>
      <c r="C245" t="inlineStr">
        <is>
          <t>https://sdhc.org/07092026-sdhc-special-meeting-minutes-final/</t>
        </is>
      </c>
      <c r="D245" t="inlineStr">
        <is>
          <t>096153602e4d52880b10bc44c4e5635cd7899fcbe5daa09b41283de5321b6d0f</t>
        </is>
      </c>
      <c r="E245" t="inlineStr">
        <is>
          <t>sources/SDHC-JUL9-2026-LANDING-excerpt.pdf</t>
        </is>
      </c>
    </row>
    <row r="246">
      <c r="A246" t="inlineStr">
        <is>
          <t>EXP-SDHC-NAV-SLIDES</t>
        </is>
      </c>
      <c r="B246" t="inlineStr">
        <is>
          <t>Navigation Slides</t>
        </is>
      </c>
      <c r="C246" t="inlineStr">
        <is>
          <t>https://sdhc.org/106_workshop_homelessness-system-navigation_final/</t>
        </is>
      </c>
      <c r="D246" t="inlineStr">
        <is>
          <t>0edf9212fc2d04c737f58e6901bd30e10c1955d44bbe053e71c9edbf2b23c726</t>
        </is>
      </c>
      <c r="E246" t="inlineStr">
        <is>
          <t>sources/EXP-SDHC-NAV-SLIDES-excerpt.pdf</t>
        </is>
      </c>
    </row>
    <row r="247">
      <c r="A247" t="inlineStr">
        <is>
          <t>EXP-HRC-FACTSHEET</t>
        </is>
      </c>
      <c r="B247" t="inlineStr">
        <is>
          <t>HRC Factsheet</t>
        </is>
      </c>
      <c r="C247" t="inlineStr">
        <is>
          <t>https://www.sdhc.org/wp-content/uploads/2021/02/Homelessness-Response-Center-FS.pdf</t>
        </is>
      </c>
      <c r="D247" t="inlineStr">
        <is>
          <t>b8fa50400819ba3de2dfdbab72b3fa2f9f4679c5d2ce12f9916f8f6089a443df</t>
        </is>
      </c>
      <c r="E247" t="inlineStr">
        <is>
          <t>sources/EXP-HRC-FACTSHEET-excerpt.pdf</t>
        </is>
      </c>
    </row>
    <row r="248">
      <c r="A248" t="inlineStr">
        <is>
          <t>EXP-HRC-23-054</t>
        </is>
      </c>
      <c r="B248" t="inlineStr">
        <is>
          <t>HRC 23 054</t>
        </is>
      </c>
      <c r="C248" t="inlineStr">
        <is>
          <t>https://sdhc.org/wp-content/uploads/2023/05/HCR23-054-Homeless-Response-Center.pdf</t>
        </is>
      </c>
      <c r="D248" t="inlineStr">
        <is>
          <t>203b94d0181a92ca2bccb89d2b79c0dee8b83e94a278450478fd2eb0bb6c5dca</t>
        </is>
      </c>
      <c r="E248" t="inlineStr">
        <is>
          <t>sources/EXP-HRC-23-054-excerpt.pdf</t>
        </is>
      </c>
    </row>
    <row r="249">
      <c r="A249" t="inlineStr">
        <is>
          <t>EXP-SDHC-HRC-25-044</t>
        </is>
      </c>
      <c r="B249" t="inlineStr">
        <is>
          <t>HRC 25 044</t>
        </is>
      </c>
      <c r="C249" t="inlineStr">
        <is>
          <t>https://sdhc.org/wp-content/uploads/2025/06/HCR25-044-HRC-Contract.pdf</t>
        </is>
      </c>
      <c r="D249" t="inlineStr">
        <is>
          <t>8c7a50e1ee4a1003192662a4393cd3584441496d493d331cb4018e1821ab7874</t>
        </is>
      </c>
      <c r="E249" t="inlineStr">
        <is>
          <t>sources/EXP-SDHC-HRC-25-044-excerpt.pdf</t>
        </is>
      </c>
    </row>
    <row r="250">
      <c r="A250" t="inlineStr">
        <is>
          <t>EXP-SDHC-NAV-REPORT</t>
        </is>
      </c>
      <c r="B250" t="inlineStr">
        <is>
          <t>Navigation Report</t>
        </is>
      </c>
      <c r="C250" t="inlineStr">
        <is>
          <t>https://sdhc.org/wp-content/uploads/2026/01/106_HCR26-003-Workshop_System-Navigation-and-Coordination_final.pdf</t>
        </is>
      </c>
      <c r="D250" t="inlineStr">
        <is>
          <t>e0e0fd2da1a7f4fd580f212c7cdd470208b81d6c4df49d4872afa7c597eee982</t>
        </is>
      </c>
      <c r="E250" t="inlineStr">
        <is>
          <t>sources/EXP-SDHC-NAV-REPORT-excerpt.pdf</t>
        </is>
      </c>
    </row>
    <row r="251">
      <c r="A251" t="inlineStr">
        <is>
          <t>EXP-HHAP3-FINAL-GOALS</t>
        </is>
      </c>
      <c r="B251" t="inlineStr">
        <is>
          <t>HHAP3 Final Goals</t>
        </is>
      </c>
      <c r="C251" t="inlineStr">
        <is>
          <t>https://www.hcd.ca.gov/sites/default/files/docs/grants-and-funding/calich/hhap3_unsheltered_goals.pdf</t>
        </is>
      </c>
      <c r="D251" t="inlineStr">
        <is>
          <t>feea08a976085c156fd8ca5f54d6708c89a6ba95e053127d1ac5d9ccdfc19099</t>
        </is>
      </c>
      <c r="E251" t="inlineStr">
        <is>
          <t>sources/EXP-HHAP3-FINAL-GOALS-excerpt.pdf</t>
        </is>
      </c>
    </row>
    <row r="252">
      <c r="A252" t="inlineStr">
        <is>
          <t>NR53645063-M32</t>
        </is>
      </c>
      <c r="B252" t="inlineStr">
        <is>
          <t>HHI-23-35.3 Third Option and Third Amendment  Connections Housing - PATH  EXECUTED.pdf</t>
        </is>
      </c>
      <c r="C252" t="inlineStr">
        <is>
          <t>https://sdhc.nextrequest.com/documents/53645063</t>
        </is>
      </c>
      <c r="D252" t="inlineStr">
        <is>
          <t>0669cc90049999d4ebac31dabd494843b9f4d1043b2f5e715edc24f40c64e0a4</t>
        </is>
      </c>
      <c r="E252" t="inlineStr">
        <is>
          <t>sources/NR53645063-M32-excerpt.pdf</t>
        </is>
      </c>
    </row>
    <row r="253">
      <c r="A253" t="inlineStr">
        <is>
          <t>SDHC-HCR26-016-LANDING</t>
        </is>
      </c>
      <c r="B253" t="inlineStr">
        <is>
          <t>SDHC-HCR26-016-LANDING</t>
        </is>
      </c>
      <c r="C253" t="inlineStr">
        <is>
          <t>https://sdhc.org/101_hcr26-016-single-adults-shelter_final/</t>
        </is>
      </c>
      <c r="D253" t="inlineStr">
        <is>
          <t>4185f8ce224ffbec0b3972fd433478a5271ce61466d826b0f2e3275bc2b814f8</t>
        </is>
      </c>
      <c r="E253" t="inlineStr">
        <is>
          <t>sources/SDHC-HCR26-016-LANDING-excerpt.pdf</t>
        </is>
      </c>
    </row>
    <row r="254">
      <c r="A254" t="inlineStr">
        <is>
          <t>SDHC-HCR26-029-LANDING</t>
        </is>
      </c>
      <c r="B254" t="inlineStr">
        <is>
          <t>SDHC-HCR26-029-LANDING</t>
        </is>
      </c>
      <c r="C254" t="inlineStr">
        <is>
          <t>https://sdhc.org/102_hcr26-029-transitional-housing-for-seniors_final/</t>
        </is>
      </c>
      <c r="D254" t="inlineStr">
        <is>
          <t>75380667a84c755cc90b3bd7e0f77ce020556e3d2844a0ab6af863805fe1ce30</t>
        </is>
      </c>
      <c r="E254" t="inlineStr">
        <is>
          <t>sources/SDHC-HCR26-029-LANDING-excerpt.pdf</t>
        </is>
      </c>
    </row>
    <row r="255">
      <c r="A255" t="inlineStr">
        <is>
          <t>CITY-R316588-NEWTON-EMERGENCY</t>
        </is>
      </c>
      <c r="B255" t="inlineStr">
        <is>
          <t>Council ratification of Jan1,2026 storm emergency, ResolutionR316588</t>
        </is>
      </c>
      <c r="C255" t="inlineStr">
        <is>
          <t>https://docs.sandiego.gov/council_reso_ordinance/rao2026/R-316588.pdf</t>
        </is>
      </c>
      <c r="D255" t="inlineStr">
        <is>
          <t>c5f5798c2eb140aa9311773dd4a7326d145a6f5b579aff677faf4322cd93c5b6</t>
        </is>
      </c>
      <c r="E255" t="inlineStr">
        <is>
          <t>sources/CITY-R316588-NEWTON-EMERGENCY-excerpt.pdf</t>
        </is>
      </c>
    </row>
    <row r="256">
      <c r="A256" t="inlineStr">
        <is>
          <t>SDHC-HCR25-011</t>
        </is>
      </c>
      <c r="B256" t="inlineStr">
        <is>
          <t>Rachel’s Promise operating agreement recommendation, February 2025</t>
        </is>
      </c>
      <c r="C256" t="inlineStr">
        <is>
          <t>https://sdhc.org/wp-content/uploads/2025/02/HCR25-011-Family-and-Women-Shelter_FINAL.pdf</t>
        </is>
      </c>
      <c r="D256" t="inlineStr">
        <is>
          <t>7b8e6b9979d03917dc93ed03b561707411625683beb58ae00b4282fbcb429a76</t>
        </is>
      </c>
      <c r="E256" t="inlineStr">
        <is>
          <t>sources/SDHC-HCR25-011-excerpt.pdf</t>
        </is>
      </c>
    </row>
    <row r="257">
      <c r="A257" t="inlineStr">
        <is>
          <t>SDHC-RACHEL-2026-EXPANSION</t>
        </is>
      </c>
      <c r="B257" t="inlineStr">
        <is>
          <t>Rachel’s Promise expansion, August 12, 2026</t>
        </is>
      </c>
      <c r="C257" t="inlineStr">
        <is>
          <t>https://sdhc.org/news-release/rachels-promise-shelter-expansion/</t>
        </is>
      </c>
      <c r="D257" t="inlineStr">
        <is>
          <t>676d312ca8b824443d8c243fde968673fa92ebf51e7e8b8130cd260b60b7d97c</t>
        </is>
      </c>
    </row>
    <row r="258">
      <c r="A258" t="inlineStr">
        <is>
          <t>SDHC-FY25-SERVICES-ANNUAL</t>
        </is>
      </c>
      <c r="B258" t="inlineStr">
        <is>
          <t>SDHC FY25 Annual Report, homelessness solutions</t>
        </is>
      </c>
      <c r="C258" t="inlineStr">
        <is>
          <t>https://sdhc.org/about-us/media-center/multimedia-reports/fy25-annual-report/homelessness-solutions/</t>
        </is>
      </c>
      <c r="D258" t="inlineStr">
        <is>
          <t>c0da2d03f2632a93e6da16e301d40ef1277e0caf9b8318c995ebcb911ea47ea5</t>
        </is>
      </c>
    </row>
    <row r="259">
      <c r="A259" t="inlineStr">
        <is>
          <t>SDHC-HCR26-008</t>
        </is>
      </c>
      <c r="B259" t="inlineStr">
        <is>
          <t>SafeSTAY lease extension staff report January2026</t>
        </is>
      </c>
      <c r="C259" t="inlineStr">
        <is>
          <t>https://sdhc.org/wp-content/uploads/2026/01/102_HCR26-008-The-Center-Shelter-Lease-Extension.final_.pdf</t>
        </is>
      </c>
      <c r="D259" t="inlineStr">
        <is>
          <t>392a042679bb2a3293ee7258683d8319104146b565f5b95426693a808d6d6ae6</t>
        </is>
      </c>
      <c r="E259" t="inlineStr">
        <is>
          <t>sources/SDHC-HCR26-008-excerpt.pdf</t>
        </is>
      </c>
    </row>
    <row r="260">
      <c r="A260" t="inlineStr">
        <is>
          <t>SDHC-JAN16-2026-MINUTES</t>
        </is>
      </c>
      <c r="B260" t="inlineStr">
        <is>
          <t>SDHC January16,2026 meeting minutes</t>
        </is>
      </c>
      <c r="C260" t="inlineStr">
        <is>
          <t>https://sdhc.org/1-16-2026-sdhc-regular-meeting-minutes_final/</t>
        </is>
      </c>
      <c r="D260" t="inlineStr">
        <is>
          <t>f6d06e9d031ecb244cb8606d6e3208ca2e9a4235b66feb97d063f71dc0c38931</t>
        </is>
      </c>
      <c r="E260" t="inlineStr">
        <is>
          <t>sources/SDHC-JAN16-2026-MINUTES-excerpt.pdf</t>
        </is>
      </c>
    </row>
    <row r="261">
      <c r="A261" t="inlineStr">
        <is>
          <t>NR53761989</t>
        </is>
      </c>
      <c r="B261" t="inlineStr">
        <is>
          <t>1801 Logan Ave (2) - Violation-PRAR 7306 E.pdf</t>
        </is>
      </c>
      <c r="C261" t="inlineStr">
        <is>
          <t>https://sandiego.nextrequest.com/documents/53761989</t>
        </is>
      </c>
      <c r="D261" t="inlineStr">
        <is>
          <t>dd19780af12cc3057db82095ec9db9ae1489d54d58f90374a4b791cafad8d798</t>
        </is>
      </c>
      <c r="E261" t="inlineStr">
        <is>
          <t>sources/NR53761989-excerpt.pdf</t>
        </is>
      </c>
    </row>
    <row r="262">
      <c r="A262" t="inlineStr">
        <is>
          <t>NR53761990</t>
        </is>
      </c>
      <c r="B262" t="inlineStr">
        <is>
          <t>1801 Logan Ave (3) - Violation-PRAR 7306 D.pdf</t>
        </is>
      </c>
      <c r="C262" t="inlineStr">
        <is>
          <t>https://sandiego.nextrequest.com/documents/53761990</t>
        </is>
      </c>
      <c r="D262" t="inlineStr">
        <is>
          <t>a8828a9ce746b29f0f717f00bc2bb6d86adb529198a6f7d4ece8009ef3dc5f7f</t>
        </is>
      </c>
      <c r="E262" t="inlineStr">
        <is>
          <t>sources/NR53761990-excerpt.pdf</t>
        </is>
      </c>
    </row>
    <row r="263">
      <c r="A263" t="inlineStr">
        <is>
          <t>NR53761991</t>
        </is>
      </c>
      <c r="B263" t="inlineStr">
        <is>
          <t>4141 Pacific Highway (2) - Violation-PRAR 7306 B.pdf</t>
        </is>
      </c>
      <c r="C263" t="inlineStr">
        <is>
          <t>https://sandiego.nextrequest.com/documents/53761991</t>
        </is>
      </c>
      <c r="D263" t="inlineStr">
        <is>
          <t>583deeb0a80fc8470f09e70e683e0044cca3fa1eaf0f840003b987e6f9307a70</t>
        </is>
      </c>
      <c r="E263" t="inlineStr">
        <is>
          <t>sources/NR53761991-excerpt.pdf</t>
        </is>
      </c>
    </row>
    <row r="264">
      <c r="A264" t="inlineStr">
        <is>
          <t>NR53761992</t>
        </is>
      </c>
      <c r="B264" t="inlineStr">
        <is>
          <t>4141 Pacific Highway (1) - Violation-PRAR 7306 C.pdf</t>
        </is>
      </c>
      <c r="C264" t="inlineStr">
        <is>
          <t>https://sandiego.nextrequest.com/documents/53761992</t>
        </is>
      </c>
      <c r="D264" t="inlineStr">
        <is>
          <t>469a489d6bd1de84cb5f3da9b4aa799f899bc1f90b8b572ca871e7469bf0357f</t>
        </is>
      </c>
      <c r="E264" t="inlineStr">
        <is>
          <t>sources/NR53761992-excerpt.pdf</t>
        </is>
      </c>
    </row>
    <row r="265">
      <c r="A265" t="inlineStr">
        <is>
          <t>NR24157945</t>
        </is>
      </c>
      <c r="B265" t="inlineStr">
        <is>
          <t>RE_ FOURTH REQUEST- PAST DUE MONITORING REPORT- FY 2018 Father Joe's Villages Project.pdf</t>
        </is>
      </c>
      <c r="C265" t="inlineStr">
        <is>
          <t>https://sandiego.nextrequest.com/documents/24157945</t>
        </is>
      </c>
      <c r="D265" t="inlineStr">
        <is>
          <t>e48a90e8583324bf12b258e25c3fd7c902326d765473938ed7d92f3cdbbb610c</t>
        </is>
      </c>
      <c r="E265" t="inlineStr">
        <is>
          <t>sources/NR24157945-excerpt.pdf</t>
        </is>
      </c>
    </row>
    <row r="266">
      <c r="A266" t="inlineStr">
        <is>
          <t>NR24157946</t>
        </is>
      </c>
      <c r="B266" t="inlineStr">
        <is>
          <t>RE_ COMPLETED-RE_ PAST DUE MONITORING REPORT- FY 2018 Father Joe's Villages Project.pdf</t>
        </is>
      </c>
      <c r="C266" t="inlineStr">
        <is>
          <t>https://sandiego.nextrequest.com/documents/24157946</t>
        </is>
      </c>
      <c r="D266" t="inlineStr">
        <is>
          <t>8fe1dd11917e1db1d6ead3ed7d9684f64ddaf8a25f3d796cbcbf2c3f6e07050e</t>
        </is>
      </c>
      <c r="E266" t="inlineStr">
        <is>
          <t>sources/NR24157946-excerpt.pdf</t>
        </is>
      </c>
    </row>
    <row r="267">
      <c r="A267" t="inlineStr">
        <is>
          <t>NR24158001</t>
        </is>
      </c>
      <c r="B267" t="inlineStr">
        <is>
          <t>FOURTH REQUEST- PAST DUE MONITORING FY 2018 FJV Project (Data Verification).pdf</t>
        </is>
      </c>
      <c r="C267" t="inlineStr">
        <is>
          <t>https://sandiego.nextrequest.com/documents/24158001</t>
        </is>
      </c>
      <c r="D267" t="inlineStr">
        <is>
          <t>eeed78ca280fe307f5eeb61d01663e72598edad0d345b5254724cb0932682ae0</t>
        </is>
      </c>
      <c r="E267" t="inlineStr">
        <is>
          <t>sources/NR24158001-excerpt.pdf</t>
        </is>
      </c>
    </row>
    <row r="268">
      <c r="A268" t="inlineStr">
        <is>
          <t>NR24158002</t>
        </is>
      </c>
      <c r="B268" t="inlineStr">
        <is>
          <t>FOURTH REQUEST- PAST DUE MONITORING REPORT- FY18 FJV Project (Before Photos).pdf</t>
        </is>
      </c>
      <c r="C268" t="inlineStr">
        <is>
          <t>https://sandiego.nextrequest.com/documents/24158002</t>
        </is>
      </c>
      <c r="D268" t="inlineStr">
        <is>
          <t>84742be1a5ea5c2d1fad66cc74f69e7597e7e1a0c3e4cf631d63ae44e5bea924</t>
        </is>
      </c>
      <c r="E268" t="inlineStr">
        <is>
          <t>sources/NR24158002-excerpt.pdf</t>
        </is>
      </c>
    </row>
    <row r="269">
      <c r="A269" t="inlineStr">
        <is>
          <t>EXP-IBA25-09-SWIFT</t>
        </is>
      </c>
      <c r="B269" t="inlineStr">
        <is>
          <t>IBA25 09 Swift</t>
        </is>
      </c>
      <c r="C269" t="inlineStr">
        <is>
          <t>https://www.sandiego.gov/sites/default/files/2025-03/25-09-review-of-swift-apartments-bridge-to-home-loan-recommendation-increase_1.pdf</t>
        </is>
      </c>
      <c r="D269" t="inlineStr">
        <is>
          <t>04f2900494f84547498eabfac84e918d29ba97c8237154874293701f6ad3bb35</t>
        </is>
      </c>
      <c r="E269" t="inlineStr">
        <is>
          <t>sources/EXP-IBA25-09-SWIFT-excerpt.pdf</t>
        </is>
      </c>
    </row>
    <row r="270">
      <c r="A270" t="inlineStr">
        <is>
          <t>EXP-R316132-SWIFT</t>
        </is>
      </c>
      <c r="B270" t="inlineStr">
        <is>
          <t>R 316132 Swift</t>
        </is>
      </c>
      <c r="C270" t="inlineStr">
        <is>
          <t>https://docs.sandiego.gov/council_reso_ordinance/rao2025/R-316132.pdf</t>
        </is>
      </c>
      <c r="D270" t="inlineStr">
        <is>
          <t>bacd9481556daf54a5c639b9147e919c9ae084a5fb3521310069fb207846a03f</t>
        </is>
      </c>
      <c r="E270" t="inlineStr">
        <is>
          <t>sources/EXP-R316132-SWIFT-excerpt.pdf</t>
        </is>
      </c>
    </row>
    <row r="271">
      <c r="A271" t="inlineStr">
        <is>
          <t>EXP-HCR25-043-SWIFT</t>
        </is>
      </c>
      <c r="B271" t="inlineStr">
        <is>
          <t>HCR25 043 Swift</t>
        </is>
      </c>
      <c r="C271" t="inlineStr">
        <is>
          <t>https://sdhc.org/wp-content/uploads/2025/06/HCR25-043-Swift-Avenue.pdf</t>
        </is>
      </c>
      <c r="D271" t="inlineStr">
        <is>
          <t>6f18c76699d2edcb2da104840c8eb533c0ab32a0ecdf62882280ec5fcd83e867</t>
        </is>
      </c>
      <c r="E271" t="inlineStr">
        <is>
          <t>sources/EXP-HCR25-043-SWIFT-excerpt.pdf</t>
        </is>
      </c>
    </row>
    <row r="272">
      <c r="A272" t="inlineStr">
        <is>
          <t>EXP-HC2040-SWIFT</t>
        </is>
      </c>
      <c r="B272" t="inlineStr">
        <is>
          <t>HC2040 Swift</t>
        </is>
      </c>
      <c r="C272" t="inlineStr">
        <is>
          <t>https://sdhc.org/wp-content/uploads/2025/07/HC-2040_Swift-Avenue-Resolution_final.pdf</t>
        </is>
      </c>
      <c r="D272" t="inlineStr">
        <is>
          <t>eb6d5f1bbe3a32421169d055f8fd5703d661d8807bc913f63521e3ebe00f82d4</t>
        </is>
      </c>
      <c r="E272" t="inlineStr">
        <is>
          <t>sources/EXP-HC2040-SWIFT-excerpt.pdf</t>
        </is>
      </c>
    </row>
    <row r="273">
      <c r="A273" t="inlineStr">
        <is>
          <t>HF-ROWE-FINAL</t>
        </is>
      </c>
      <c r="B273" t="inlineStr">
        <is>
          <t>City Council resolution R-316911: Rowe meal-delivery agreement, final passage September 2, 2026</t>
        </is>
      </c>
      <c r="C273" t="inlineStr">
        <is>
          <t>https://docs.sandiego.gov/council_reso_ordinance/rao2026/R-316911.pdf</t>
        </is>
      </c>
      <c r="D273" t="inlineStr">
        <is>
          <t>5cefc04fe88f20330cf4d0e61e344cd8e31dfe6452612405e0d9d96763e47ea4</t>
        </is>
      </c>
      <c r="E273" t="inlineStr">
        <is>
          <t>sources/HF-ROWE-FINAL.pdf</t>
        </is>
      </c>
    </row>
    <row r="274">
      <c r="A274" t="inlineStr">
        <is>
          <t>HF-SHELTER-READY</t>
        </is>
      </c>
      <c r="B274" t="inlineStr">
        <is>
          <t>District Attorney: regional Shelter Ready launch, June 9, 2025</t>
        </is>
      </c>
      <c r="C274" t="inlineStr">
        <is>
          <t>https://www.sdcda.org/content/office/newsroom/tempDownloads/5b048a6d-fcf6-4e5e-85c6-ab10567ed5c4_Shelter%20Ready%20App%20News%20Release%206-8-25.pdf</t>
        </is>
      </c>
      <c r="D274" t="inlineStr">
        <is>
          <t>5c15e92256f02a62283bcefd1478239b93210d0ddf396a5f867b353de8942059</t>
        </is>
      </c>
      <c r="E274" t="inlineStr">
        <is>
          <t>sources/HF-SHELTER-READY.pdf</t>
        </is>
      </c>
    </row>
    <row r="275">
      <c r="A275" t="inlineStr">
        <is>
          <t>HF-RTFH-DIVERSION</t>
        </is>
      </c>
      <c r="B275" t="inlineStr">
        <is>
          <t>RTFH San Diego Homeless Diversion Fund and Resolution Strategies, 2024 final report, May 2025; updated August 2025</t>
        </is>
      </c>
      <c r="C275" t="inlineStr">
        <is>
          <t>https://www.rtfhsd.org/wp-content/uploads/2025/09/Revised_Diversion-Resolution-Strategies-Report_August2025.pdf</t>
        </is>
      </c>
      <c r="D275" t="inlineStr">
        <is>
          <t>125e7f718e54e6bda7431b31d5dce000344c103f32d68a6d165cf8462ed74102</t>
        </is>
      </c>
      <c r="E275" t="inlineStr">
        <is>
          <t>sources/HF-RTFH-DIVERSION-excerpt.pdf</t>
        </is>
      </c>
    </row>
    <row r="276">
      <c r="A276" t="inlineStr">
        <is>
          <t>CITY-FY24-CAPER-IDIS</t>
        </is>
      </c>
      <c r="B276" t="inlineStr">
        <is>
          <t>City of San Diego. FY2024 CAPER IDIS reports: VVSD fire-alarm closeout. September 2024.</t>
        </is>
      </c>
      <c r="C276" t="inlineStr">
        <is>
          <t>https://www.sandiego.gov/sites/default/files/2024-09/attachment-2-city-of-san-diego-fy-2024-caper-idis-reports.pdf</t>
        </is>
      </c>
      <c r="D276" t="inlineStr">
        <is>
          <t>6f65eb01a60e9521b256347979eaa87ab3067416af1cde4942c8640b8051b091</t>
        </is>
      </c>
      <c r="E276" t="inlineStr">
        <is>
          <t>sources/CITY-FY24-CAPER-IDIS-excerpt.pdf</t>
        </is>
      </c>
    </row>
    <row r="277">
      <c r="A277" t="inlineStr">
        <is>
          <t>CITY-R316384-SAFE-SLEEPING-GRANT</t>
        </is>
      </c>
      <c r="B277" t="inlineStr">
        <is>
          <t>City Council. Resolution R-316384: County capital funding for Safe Sleeping. August 4, 2025.</t>
        </is>
      </c>
      <c r="C277" t="inlineStr">
        <is>
          <t>https://docs.sandiego.gov/council_reso_ordinance/rao2025/R-316384.pdf</t>
        </is>
      </c>
      <c r="D277" t="inlineStr">
        <is>
          <t>5799f0c57e6854f2edf201a9de52af85206d03737e4e06d360c411eed4ababbe</t>
        </is>
      </c>
      <c r="E277" t="inlineStr">
        <is>
          <t>sources/CITY-R316384-SAFE-SLEEPING-GRANT-excerpt.pdf</t>
        </is>
      </c>
    </row>
    <row r="278">
      <c r="A278" t="inlineStr">
        <is>
          <t>CITY-FY26-Q1-MONITORING</t>
        </is>
      </c>
      <c r="B278" t="inlineStr">
        <is>
          <t>City of San Diego. FY2026 First Quarter Budget Monitoring Report. November 2025.</t>
        </is>
      </c>
      <c r="C278" t="inlineStr">
        <is>
          <t>https://www.sandiego.gov/sites/default/files/2025-11/fy26-first-quarter-budget-monitoring-report.pdf</t>
        </is>
      </c>
      <c r="D278" t="inlineStr">
        <is>
          <t>b605b0efbb35073bb0d6beb437a395bff2399005fb829118118c585ab2b349ca</t>
        </is>
      </c>
      <c r="E278" t="inlineStr">
        <is>
          <t>sources/CITY-FY26-Q1-MONITORING-excerpt.pdf</t>
        </is>
      </c>
    </row>
    <row r="279">
      <c r="A279" t="inlineStr">
        <is>
          <t>OCA-FOLLOWUP-2025-12</t>
        </is>
      </c>
      <c r="B279" t="inlineStr">
        <is>
          <t>City Auditor. Recommendation Follow-Up Report, period ending December 31, 2025.</t>
        </is>
      </c>
      <c r="C279" t="inlineStr">
        <is>
          <t>https://www.sandiego.gov/sites/default/files/2026-04/recommendation-follow-up-report-period-ending-december-31-2025.pdf</t>
        </is>
      </c>
      <c r="D279" t="inlineStr">
        <is>
          <t>2c1d4bb6cd2cd6b130e10924d1b8de98ccaac8257c0effd8e15192e1d2b3823d</t>
        </is>
      </c>
      <c r="E279" t="inlineStr">
        <is>
          <t>sources/OCA-FOLLOWUP-2025-12-excerpt.pdf</t>
        </is>
      </c>
    </row>
  </sheetData>
  <autoFilter ref="A1:E2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40" customWidth="1" min="3" max="3"/>
    <col width="40" customWidth="1" min="4" max="4"/>
  </cols>
  <sheetData>
    <row r="1" ht="30" customHeight="1">
      <c r="A1" s="1" t="inlineStr">
        <is>
          <t>Service month</t>
        </is>
      </c>
      <c r="B1" s="1" t="inlineStr">
        <is>
          <t>Approved dollars</t>
        </is>
      </c>
      <c r="C1" s="1" t="inlineStr">
        <is>
          <t>AP rows</t>
        </is>
      </c>
      <c r="D1" s="1" t="inlineStr">
        <is>
          <t>Posting fiscal years</t>
        </is>
      </c>
    </row>
    <row r="2" ht="30" customHeight="1">
      <c r="A2" s="2" t="inlineStr">
        <is>
          <t>2024-07</t>
        </is>
      </c>
      <c r="B2" s="2" t="n">
        <v>266447</v>
      </c>
      <c r="C2" s="2" t="inlineStr">
        <is>
          <t>[81]</t>
        </is>
      </c>
      <c r="D2" s="2" t="inlineStr">
        <is>
          <t>["2025"]</t>
        </is>
      </c>
    </row>
    <row r="3" ht="30" customHeight="1">
      <c r="A3" s="3" t="inlineStr">
        <is>
          <t>2024-08</t>
        </is>
      </c>
      <c r="B3" s="3" t="n">
        <v>266358</v>
      </c>
      <c r="C3" s="3" t="inlineStr">
        <is>
          <t>[84]</t>
        </is>
      </c>
      <c r="D3" s="3" t="inlineStr">
        <is>
          <t>["2025"]</t>
        </is>
      </c>
    </row>
    <row r="4" ht="30" customHeight="1">
      <c r="A4" s="2" t="inlineStr">
        <is>
          <t>2024-09</t>
        </is>
      </c>
      <c r="B4" s="2" t="n">
        <v>262277</v>
      </c>
      <c r="C4" s="2" t="inlineStr">
        <is>
          <t>[86]</t>
        </is>
      </c>
      <c r="D4" s="2" t="inlineStr">
        <is>
          <t>["2025"]</t>
        </is>
      </c>
    </row>
    <row r="5" ht="30" customHeight="1">
      <c r="A5" s="3" t="inlineStr">
        <is>
          <t>2024-10</t>
        </is>
      </c>
      <c r="B5" s="3" t="n">
        <v>283123</v>
      </c>
      <c r="C5" s="3" t="inlineStr">
        <is>
          <t>[92]</t>
        </is>
      </c>
      <c r="D5" s="3" t="inlineStr">
        <is>
          <t>["2025"]</t>
        </is>
      </c>
    </row>
    <row r="6" ht="30" customHeight="1">
      <c r="A6" s="2" t="inlineStr">
        <is>
          <t>2024-11</t>
        </is>
      </c>
      <c r="B6" s="2" t="n">
        <v>242186.85</v>
      </c>
      <c r="C6" s="2" t="inlineStr">
        <is>
          <t>[94]</t>
        </is>
      </c>
      <c r="D6" s="2" t="inlineStr">
        <is>
          <t>["2025"]</t>
        </is>
      </c>
    </row>
    <row r="7" ht="30" customHeight="1">
      <c r="A7" s="3" t="inlineStr">
        <is>
          <t>2024-12</t>
        </is>
      </c>
      <c r="B7" s="3" t="n">
        <v>253760.25</v>
      </c>
      <c r="C7" s="3" t="inlineStr">
        <is>
          <t>[96]</t>
        </is>
      </c>
      <c r="D7" s="3" t="inlineStr">
        <is>
          <t>["2025"]</t>
        </is>
      </c>
    </row>
    <row r="8" ht="30" customHeight="1">
      <c r="A8" s="2" t="inlineStr">
        <is>
          <t>2025-01</t>
        </is>
      </c>
      <c r="B8" s="2" t="n">
        <v>266664</v>
      </c>
      <c r="C8" s="2" t="inlineStr">
        <is>
          <t>[100]</t>
        </is>
      </c>
      <c r="D8" s="2" t="inlineStr">
        <is>
          <t>["2025"]</t>
        </is>
      </c>
    </row>
    <row r="9" ht="30" customHeight="1">
      <c r="A9" s="3" t="inlineStr">
        <is>
          <t>2025-02</t>
        </is>
      </c>
      <c r="B9" s="3" t="n">
        <v>289164</v>
      </c>
      <c r="C9" s="3" t="inlineStr">
        <is>
          <t>[102]</t>
        </is>
      </c>
      <c r="D9" s="3" t="inlineStr">
        <is>
          <t>["2025"]</t>
        </is>
      </c>
    </row>
    <row r="10" ht="30" customHeight="1">
      <c r="A10" s="2" t="inlineStr">
        <is>
          <t>2025-03</t>
        </is>
      </c>
      <c r="B10" s="2" t="n">
        <v>261138</v>
      </c>
      <c r="C10" s="2" t="inlineStr">
        <is>
          <t>[104]</t>
        </is>
      </c>
      <c r="D10" s="2" t="inlineStr">
        <is>
          <t>["2025"]</t>
        </is>
      </c>
    </row>
    <row r="11" ht="30" customHeight="1">
      <c r="A11" s="3" t="inlineStr">
        <is>
          <t>2025-04</t>
        </is>
      </c>
      <c r="B11" s="3" t="n">
        <v>307871</v>
      </c>
      <c r="C11" s="3" t="inlineStr">
        <is>
          <t>[105]</t>
        </is>
      </c>
      <c r="D11" s="3" t="inlineStr">
        <is>
          <t>["2025"]</t>
        </is>
      </c>
    </row>
    <row r="12" ht="30" customHeight="1">
      <c r="A12" s="2" t="inlineStr">
        <is>
          <t>2025-05</t>
        </is>
      </c>
      <c r="B12" s="2" t="n">
        <v>303586</v>
      </c>
      <c r="C12" s="2" t="inlineStr">
        <is>
          <t>[109, 110]</t>
        </is>
      </c>
      <c r="D12" s="2" t="inlineStr">
        <is>
          <t>["2026"]</t>
        </is>
      </c>
    </row>
    <row r="13" ht="30" customHeight="1">
      <c r="A13" s="3" t="inlineStr">
        <is>
          <t>2025-06</t>
        </is>
      </c>
      <c r="B13" s="3" t="n">
        <v>287418</v>
      </c>
      <c r="C13" s="3" t="inlineStr">
        <is>
          <t>[108]</t>
        </is>
      </c>
      <c r="D13" s="3" t="inlineStr">
        <is>
          <t>["2026"]</t>
        </is>
      </c>
    </row>
  </sheetData>
  <autoFilter ref="A1:D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5" customWidth="1" min="1" max="1"/>
    <col width="70" customWidth="1" min="2" max="2"/>
    <col width="100" customWidth="1" min="3" max="3"/>
    <col width="110" customWidth="1" min="4" max="4"/>
  </cols>
  <sheetData>
    <row r="1" ht="30" customHeight="1">
      <c r="A1" s="1" t="inlineStr">
        <is>
          <t>Removal</t>
        </is>
      </c>
      <c r="B1" s="1" t="inlineStr">
        <is>
          <t>Lost claim IDs</t>
        </is>
      </c>
      <c r="C1" s="1" t="inlineStr">
        <is>
          <t>Retained claim IDs</t>
        </is>
      </c>
      <c r="D1" s="1" t="inlineStr">
        <is>
          <t>Interpretation</t>
        </is>
      </c>
    </row>
    <row r="2" ht="180" customHeight="1">
      <c r="A2" s="2" t="inlineStr">
        <is>
          <t>Historical APR</t>
        </is>
      </c>
      <c r="B2" s="2" t="inlineStr">
        <is>
          <t>["DEC050"]</t>
        </is>
      </c>
      <c r="C2" s="2"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"DEC044", "DEC045", "DEC046", "DEC047", "DEC048", "DEC049", "DEC051", "DEC052", "DEC053", "DEC054", "DEC055", "DEC056", "DEC057", "DEC058", "DEC059", "DEC060", "DEC061", "DEC062", "DEC063", "DEC064", "DEC065", "DEC066", "DEC067", "DEC068", "DEC069", "DEC070", "DEC071", "DEC072", "DEC073", "DEC074", "DEC075", "DEC076", "DEC077", "DEC078", "DEC079", "DEC080", "DEC081", "DEC082"]</t>
        </is>
      </c>
      <c r="D2" s="2" t="inlineStr">
        <is>
          <t>Conservative exhibit/passage removal on any affected supporting source. Survival of policy direction does not establish effectiveness.</t>
        </is>
      </c>
    </row>
    <row r="3" ht="180" customHeight="1">
      <c r="A3" s="3" t="inlineStr">
        <is>
          <t>Grantee outcomes / narratives</t>
        </is>
      </c>
      <c r="B3" s="3" t="inlineStr">
        <is>
          <t>["DEC007", "DEC032"]</t>
        </is>
      </c>
      <c r="C3" s="3" t="inlineStr">
        <is>
          <t>["DEC001", "DEC002", "DEC003", "DEC004", "DEC005", "DEC006", "DEC008", "DEC009", "DEC010", "DEC011", "DEC012", "DEC013", "DEC014", "DEC015", "DEC016", "DEC017", "DEC018", "DEC019", "DEC020", "DEC021", "DEC022", "DEC023", "DEC024", "DEC025", "DEC026", "DEC027", "DEC028", "DEC029", "DEC030", "DEC031", "DEC033", "DEC034", "DEC035", "DEC036", "DEC037", "DEC038", "DEC039", "DEC040", "DEC041", "DEC042", "DEC043", "DEC044", "DEC045", "DEC046", "DEC047", "DEC048", "DEC049", "DEC050", "DEC051", "DEC052", "DEC053", "DEC054", "DEC055", "DEC056", "DEC057", "DEC058", "DEC059", "DEC060", "DEC061", "DEC062", "DEC063", "DEC064", "DEC065", "DEC066", "DEC067", "DEC068", "DEC069", "DEC070", "DEC071", "DEC072", "DEC073", "DEC074", "DEC075", "DEC076", "DEC077", "DEC078", "DEC079", "DEC080", "DEC081", "DEC082"]</t>
        </is>
      </c>
      <c r="D3" s="3" t="inlineStr">
        <is>
          <t>Conservative exhibit/passage removal on any affected supporting source. Survival of policy direction does not establish effectiveness.</t>
        </is>
      </c>
    </row>
    <row r="4" ht="180" customHeight="1">
      <c r="A4" s="2" t="inlineStr">
        <is>
          <t>Operational chain</t>
        </is>
      </c>
      <c r="B4" s="2" t="inlineStr">
        <is>
          <t>["DEC016", "DEC018", "DEC038"]</t>
        </is>
      </c>
      <c r="C4" s="2" t="inlineStr">
        <is>
          <t>["DEC001", "DEC002", "DEC003", "DEC004", "DEC005", "DEC006", "DEC007", "DEC008", "DEC009", "DEC010", "DEC011", "DEC012", "DEC013", "DEC014", "DEC015", "DEC017", "DEC019", "DEC020", "DEC021", "DEC022", "DEC023", "DEC024", "DEC025", "DEC026", "DEC027", "DEC028", "DEC029", "DEC030", "DEC031", "DEC032", "DEC033", "DEC034", "DEC035", "DEC036", "DEC037", "DEC039", "DEC040", "DEC041", "DEC042", "DEC043", "DEC044", "DEC045", "DEC046", "DEC047", "DEC048", "DEC049", "DEC050", "DEC051", "DEC052", "DEC053", "DEC054", "DEC055", "DEC056", "DEC057", "DEC058", "DEC059", "DEC060", "DEC061", "DEC062", "DEC063", "DEC064", "DEC065", "DEC066", "DEC067", "DEC068", "DEC069", "DEC070", "DEC071", "DEC072", "DEC073", "DEC074", "DEC075", "DEC076", "DEC077", "DEC078", "DEC079", "DEC080", "DEC081", "DEC082"]</t>
        </is>
      </c>
      <c r="D4" s="2" t="inlineStr">
        <is>
          <t>Conservative exhibit/passage removal on any affected supporting source. Survival of policy direction does not establish effectiveness.</t>
        </is>
      </c>
    </row>
    <row r="5" ht="180" customHeight="1">
      <c r="A5" s="3" t="inlineStr">
        <is>
          <t>November native versions</t>
        </is>
      </c>
      <c r="B5" s="3" t="inlineStr">
        <is>
          <t>["DEC044", "DEC045"]</t>
        </is>
      </c>
      <c r="C5" s="3"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"DEC046", "DEC047", "DEC048", "DEC049", "DEC050", "DEC051", "DEC052", "DEC053", "DEC054", "DEC055", "DEC056", "DEC057", "DEC058", "DEC059", "DEC060", "DEC061", "DEC062", "DEC063", "DEC064", "DEC065", "DEC066", "DEC067", "DEC068", "DEC069", "DEC070", "DEC071", "DEC072", "DEC073", "DEC074", "DEC075", "DEC076", "DEC077", "DEC078", "DEC079", "DEC080", "DEC081", "DEC082"]</t>
        </is>
      </c>
      <c r="D5" s="3" t="inlineStr">
        <is>
          <t>Conservative exhibit/passage removal on any affected supporting source. Survival of policy direction does not establish effectiveness.</t>
        </is>
      </c>
    </row>
    <row r="6" ht="180" customHeight="1">
      <c r="A6" s="2" t="inlineStr">
        <is>
          <t>Newer pooled APRs</t>
        </is>
      </c>
      <c r="B6" s="2" t="inlineStr">
        <is>
          <t>["DEC059"]</t>
        </is>
      </c>
      <c r="C6" s="2"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"DEC044", "DEC045", "DEC046", "DEC047", "DEC048", "DEC049", "DEC050", "DEC051", "DEC052", "DEC053", "DEC054", "DEC055", "DEC056", "DEC057", "DEC058", "DEC060", "DEC061", "DEC062", "DEC063", "DEC064", "DEC065", "DEC066", "DEC067", "DEC068", "DEC069", "DEC070", "DEC071", "DEC072", "DEC073", "DEC074", "DEC075", "DEC076", "DEC077", "DEC078", "DEC079", "DEC080", "DEC081", "DEC082"]</t>
        </is>
      </c>
      <c r="D6" s="2" t="inlineStr">
        <is>
          <t>Conservative exhibit/passage removal on any affected supporting source. Survival of policy direction does not establish effectiveness.</t>
        </is>
      </c>
    </row>
    <row r="7" ht="180" customHeight="1">
      <c r="A7" s="3" t="inlineStr">
        <is>
          <t>State system-performance definitions and data</t>
        </is>
      </c>
      <c r="B7" s="3" t="inlineStr">
        <is>
          <t>["DEC061", "DEC062", "DEC063"]</t>
        </is>
      </c>
      <c r="C7" s="3"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"DEC044", "DEC045", "DEC046", "DEC047", "DEC048", "DEC049", "DEC050", "DEC051", "DEC052", "DEC053", "DEC054", "DEC055", "DEC056", "DEC057", "DEC058", "DEC059", "DEC060", "DEC064", "DEC065", "DEC066", "DEC067", "DEC068", "DEC069", "DEC070", "DEC071", "DEC072", "DEC073", "DEC074", "DEC075", "DEC076", "DEC077", "DEC078", "DEC079", "DEC080", "DEC081", "DEC082"]</t>
        </is>
      </c>
      <c r="D7" s="3" t="inlineStr">
        <is>
          <t>Conservative exhibit/passage removal on any affected supporting source. Survival of policy direction does not establish effectiveness.</t>
        </is>
      </c>
    </row>
    <row r="8" ht="180" customHeight="1">
      <c r="A8" s="2" t="inlineStr">
        <is>
          <t>Cumulative HHAP baseline</t>
        </is>
      </c>
      <c r="B8" s="2" t="inlineStr">
        <is>
          <t>["DEC075"]</t>
        </is>
      </c>
      <c r="C8" s="2"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"DEC044", "DEC045", "DEC046", "DEC047", "DEC048", "DEC049", "DEC050", "DEC051", "DEC052", "DEC053", "DEC054", "DEC055", "DEC056", "DEC057", "DEC058", "DEC059", "DEC060", "DEC061", "DEC062", "DEC063", "DEC064", "DEC065", "DEC066", "DEC067", "DEC068", "DEC069", "DEC070", "DEC071", "DEC072", "DEC073", "DEC074", "DEC076", "DEC077", "DEC078", "DEC079", "DEC080", "DEC081", "DEC082"]</t>
        </is>
      </c>
      <c r="D8" s="2" t="inlineStr">
        <is>
          <t>Conservative exhibit/passage removal on any affected supporting source. Survival of policy direction does not establish effectiveness.</t>
        </is>
      </c>
    </row>
    <row r="9" ht="180" customHeight="1">
      <c r="A9" s="3" t="inlineStr">
        <is>
          <t>Selected Safe Parking extract</t>
        </is>
      </c>
      <c r="B9" s="3" t="inlineStr">
        <is>
          <t>["DEC060"]</t>
        </is>
      </c>
      <c r="C9" s="3"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"DEC044", "DEC045", "DEC046", "DEC047", "DEC048", "DEC049", "DEC050", "DEC051", "DEC052", "DEC053", "DEC054", "DEC055", "DEC056", "DEC057", "DEC058", "DEC059", "DEC061", "DEC062", "DEC063", "DEC064", "DEC065", "DEC066", "DEC067", "DEC068", "DEC069", "DEC070", "DEC071", "DEC072", "DEC073", "DEC074", "DEC075", "DEC076", "DEC077", "DEC078", "DEC079", "DEC080", "DEC081", "DEC082"]</t>
        </is>
      </c>
      <c r="D9" s="3" t="inlineStr">
        <is>
          <t>Conservative exhibit/passage removal on any affected supporting source. Survival of policy direction does not establish effectiveness.</t>
        </is>
      </c>
    </row>
    <row r="10" ht="180" customHeight="1">
      <c r="A10" s="2" t="inlineStr">
        <is>
          <t>City PIT snapshot</t>
        </is>
      </c>
      <c r="B10" s="2" t="inlineStr">
        <is>
          <t>["DEC064"]</t>
        </is>
      </c>
      <c r="C10" s="2" t="inlineStr">
        <is>
          <t>["DEC001", "DEC002", "DEC003", "DEC004", "DEC005", "DEC006", "DEC007", "DEC008", "DEC009", "DEC010", "DEC011", "DEC012", "DEC013", "DEC014", "DEC015", "DEC016", "DEC017", "DEC018", "DEC019", "DEC020", "DEC021", "DEC022", "DEC023", "DEC024", "DEC025", "DEC026", "DEC027", "DEC028", "DEC029", "DEC030", "DEC031", "DEC032", "DEC033", "DEC034", "DEC035", "DEC036", "DEC037", "DEC038", "DEC039", "DEC040", "DEC041", "DEC042", "DEC043", "DEC044", "DEC045", "DEC046", "DEC047", "DEC048", "DEC049", "DEC050", "DEC051", "DEC052", "DEC053", "DEC054", "DEC055", "DEC056", "DEC057", "DEC058", "DEC059", "DEC060", "DEC061", "DEC062", "DEC063", "DEC065", "DEC066", "DEC067", "DEC068", "DEC069", "DEC070", "DEC071", "DEC072", "DEC073", "DEC074", "DEC075", "DEC076", "DEC077", "DEC078", "DEC079", "DEC080", "DEC081", "DEC082"]</t>
        </is>
      </c>
      <c r="D10" s="2" t="inlineStr">
        <is>
          <t>Conservative exhibit/passage removal on any affected supporting source. Survival of policy direction does not establish effectiveness.</t>
        </is>
      </c>
    </row>
  </sheetData>
  <autoFilter ref="A1:D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100" customWidth="1" min="2" max="2"/>
    <col width="35" customWidth="1" min="3" max="3"/>
    <col width="70" customWidth="1" min="4" max="4"/>
    <col width="65" customWidth="1" min="5" max="5"/>
    <col width="110" customWidth="1" min="6" max="6"/>
    <col width="110" customWidth="1" min="7" max="7"/>
    <col width="50" customWidth="1" min="8" max="8"/>
    <col width="35" customWidth="1" min="9" max="9"/>
  </cols>
  <sheetData>
    <row r="1" ht="30" customHeight="1">
      <c r="A1" s="1" t="inlineStr">
        <is>
          <t>id</t>
        </is>
      </c>
      <c r="B1" s="1" t="inlineStr">
        <is>
          <t>deliverable</t>
        </is>
      </c>
      <c r="C1" s="1" t="inlineStr">
        <is>
          <t>owner</t>
        </is>
      </c>
      <c r="D1" s="1" t="inlineStr">
        <is>
          <t>support</t>
        </is>
      </c>
      <c r="E1" s="1" t="inlineStr">
        <is>
          <t>due</t>
        </is>
      </c>
      <c r="F1" s="1" t="inlineStr">
        <is>
          <t>status</t>
        </is>
      </c>
      <c r="G1" s="1" t="inlineStr">
        <is>
          <t>gate</t>
        </is>
      </c>
      <c r="H1" s="1" t="inlineStr">
        <is>
          <t>sources</t>
        </is>
      </c>
      <c r="I1" s="1" t="inlineStr">
        <is>
          <t>priority</t>
        </is>
      </c>
    </row>
    <row r="2" ht="30" customHeight="1">
      <c r="A2" s="2" t="inlineStr">
        <is>
          <t>R01</t>
        </is>
      </c>
      <c r="B2" s="2" t="inlineStr">
        <is>
          <t>Task-level roster, qualifications, sampled volume, paid time and retained police escalation; overtime code crosswalk.</t>
        </is>
      </c>
      <c r="C2" s="2" t="inlineStr">
        <is>
          <t>Police Chief</t>
        </is>
      </c>
      <c r="D2" s="2" t="inlineStr">
        <is>
          <t>HSSD Director; CFO validates ledger.</t>
        </is>
      </c>
      <c r="E2" s="2" t="inlineStr">
        <is>
          <t>Adoption + 30 calendar days; cost bridge at + 60.</t>
        </is>
      </c>
      <c r="F2" s="2" t="inlineStr">
        <is>
          <t>Required record not acquired; no request sent by the author.</t>
        </is>
      </c>
      <c r="G2" s="2" t="inlineStr">
        <is>
          <t>No affected task transfer without eligible scope, measured workload and preserved essential duties.</t>
        </is>
      </c>
      <c r="H2" s="2" t="inlineStr">
        <is>
          <t>["V15", "BK06", "S03"]</t>
        </is>
      </c>
      <c r="I2" s="2" t="inlineStr">
        <is>
          <t>Critical path</t>
        </is>
      </c>
    </row>
    <row r="3" ht="36.75" customHeight="1">
      <c r="A3" s="3" t="inlineStr">
        <is>
          <t>R02</t>
        </is>
      </c>
      <c r="B3" s="3" t="inlineStr">
        <is>
          <t>Fund/appropriation, obligations, eligible balance, actual expenditure ending, effective date, first-year/recurring replacement and backfill bridge.</t>
        </is>
      </c>
      <c r="C3" s="3" t="inlineStr">
        <is>
          <t>CFO</t>
        </is>
      </c>
      <c r="D3" s="3" t="inlineStr">
        <is>
          <t>Police Chief; HSSD Director; Finance.</t>
        </is>
      </c>
      <c r="E3" s="3" t="inlineStr">
        <is>
          <t>Adoption + 60; certification before launch.</t>
        </is>
      </c>
      <c r="F3" s="3" t="inlineStr">
        <is>
          <t>No signed bridge or transferable $2.2 million established.</t>
        </is>
      </c>
      <c r="G3" s="3" t="inlineStr">
        <is>
          <t>No affected launch or expansion with an unfunded gap.</t>
        </is>
      </c>
      <c r="H3" s="3" t="inlineStr">
        <is>
          <t>["FPB02", "CHAR01", "BK08"]</t>
        </is>
      </c>
      <c r="I3" s="3" t="inlineStr">
        <is>
          <t>Critical path</t>
        </is>
      </c>
    </row>
    <row r="4" ht="36.25" customHeight="1">
      <c r="A4" s="2" t="inlineStr">
        <is>
          <t>R03</t>
        </is>
      </c>
      <c r="B4" s="2" t="inlineStr">
        <is>
          <t>Dated personnel, provider/clinical, transport, sanitation and evaluation prices; staffing/coverage, supervision, access and administration scope.</t>
        </is>
      </c>
      <c r="C4" s="2" t="inlineStr">
        <is>
          <t>HSSD Director</t>
        </is>
      </c>
      <c r="D4" s="2" t="inlineStr">
        <is>
          <t>Personnel; procurement; CFO; qualified providers.</t>
        </is>
      </c>
      <c r="E4" s="2" t="inlineStr">
        <is>
          <t>Adoption + 60; refresh before award/launch.</t>
        </is>
      </c>
      <c r="F4" s="2" t="inlineStr">
        <is>
          <t>Historical compensation and illustrative allowances only; current quotes not acquired.</t>
        </is>
      </c>
      <c r="G4" s="2" t="inlineStr">
        <is>
          <t>Compare options on the same all-in delivery/oversight basis; resize or request lawful funding.</t>
        </is>
      </c>
      <c r="H4" s="2" t="inlineStr">
        <is>
          <t>["BK23", "GID26"]</t>
        </is>
      </c>
      <c r="I4" s="2" t="inlineStr">
        <is>
          <t>Critical path</t>
        </is>
      </c>
    </row>
    <row r="5" ht="35" customHeight="1">
      <c r="A5" s="3" t="inlineStr">
        <is>
          <t>R04</t>
        </is>
      </c>
      <c r="B5" s="3" t="inlineStr">
        <is>
          <t>Planning-resource authorization; labor/classification, legal, contract and independent-review procurement sequence with feasible milestones.</t>
        </is>
      </c>
      <c r="C5" s="3" t="inlineStr">
        <is>
          <t>HSSD Director</t>
        </is>
      </c>
      <c r="D5" s="3" t="inlineStr">
        <is>
          <t>Mayor’s designee; Personnel/labor relations; procurement; City Attorney; CFO.</t>
        </is>
      </c>
      <c r="E5" s="3" t="inlineStr">
        <is>
          <t>Identify resources at adoption; inventory + 30; return + 60 even if incomplete.</t>
        </is>
      </c>
      <c r="F5" s="3" t="inlineStr">
        <is>
          <t>No City approval or procurement timetable obtained.</t>
        </is>
      </c>
      <c r="G5" s="3" t="inlineStr">
        <is>
          <t>Do not commission unfunded work or presume review can be procured in 60 days.</t>
        </is>
      </c>
      <c r="H5" s="3" t="inlineStr">
        <is>
          <t>["CHAR01", "BK22"]</t>
        </is>
      </c>
      <c r="I5" s="3" t="inlineStr">
        <is>
          <t>Critical path</t>
        </is>
      </c>
    </row>
    <row r="6" ht="57" customHeight="1">
      <c r="A6" s="2" t="inlineStr">
        <is>
          <t>R05</t>
        </is>
      </c>
      <c r="B6" s="2" t="inlineStr">
        <is>
          <t>Existing humane-service obligations, feedback channels, monitoring/remedies, participant invitation coverage and documented gaps.</t>
        </is>
      </c>
      <c r="C6" s="2" t="inlineStr">
        <is>
          <t>HSSD Director</t>
        </is>
      </c>
      <c r="D6" s="2" t="inlineStr">
        <is>
          <t>SDHC; providers; independent evaluator.</t>
        </is>
      </c>
      <c r="E6" s="2" t="inlineStr">
        <is>
          <t>Inventory + 30; amendments and monitoring plan + 60.</t>
        </is>
      </c>
      <c r="F6" s="2" t="inlineStr">
        <is>
          <t>Initial-term PATH/City Net agreements, Dreams for Change procedures and selected City oversight correspondence acquired. Current amendments, complete coverage and representative operation-level participant baseline not acquired.</t>
        </is>
      </c>
      <c r="G6" s="2" t="inlineStr">
        <is>
          <t>Reuse effective channels; add requirements only for documented gaps; no claimed quality advantage without evidence.</t>
        </is>
      </c>
      <c r="H6" s="2" t="inlineStr">
        <is>
          <t>["S01", "UCSD26G", "HC02", "DR02", "DR03", "DR04", "DR10"]</t>
        </is>
      </c>
      <c r="I6" s="2" t="inlineStr">
        <is>
          <t>Critical path</t>
        </is>
      </c>
    </row>
    <row r="7" ht="41.75" customHeight="1">
      <c r="A7" s="3" t="inlineStr">
        <is>
          <t>R06</t>
        </is>
      </c>
      <c r="B7" s="3" t="inlineStr">
        <is>
          <t>Operation-to-private-service linkage feasibility, readiness certificate, metric definitions, accessible contact/complaint routes and independent risk-review recipient.</t>
        </is>
      </c>
      <c r="C7" s="3" t="inlineStr">
        <is>
          <t>HSSD Director</t>
        </is>
      </c>
      <c r="D7" s="3" t="inlineStr">
        <is>
          <t>ESD; SDPD; authorized HMIS/SDHC stewards; legal/data owners; independent reviewer.</t>
        </is>
      </c>
      <c r="E7" s="3" t="inlineStr">
        <is>
          <t>Feasibility + 30; costed design + 60; all permissions/protocols before collection/launch.</t>
        </is>
      </c>
      <c r="F7" s="3" t="inlineStr">
        <is>
          <t>No operational linkage, signed data agreement or commissioned evaluator acquired.</t>
        </is>
      </c>
      <c r="G7" s="3" t="inlineStr">
        <is>
          <t>Use a bounded lawful sample or explain an alternative if a full link is infeasible; preserve assistance.</t>
        </is>
      </c>
      <c r="H7" s="3" t="inlineStr">
        <is>
          <t>["S01", "AN17D", "AN17W", "AN06"]</t>
        </is>
      </c>
      <c r="I7" s="3" t="inlineStr">
        <is>
          <t>Critical path</t>
        </is>
      </c>
    </row>
    <row r="8" ht="30" customHeight="1">
      <c r="A8" s="2" t="inlineStr">
        <is>
          <t>R07</t>
        </is>
      </c>
      <c r="B8" s="2" t="inlineStr">
        <is>
          <t>CSIP person/referral accommodation crosswalk and verified admission/retention definitions, with missingness.</t>
        </is>
      </c>
      <c r="C8" s="2" t="inlineStr">
        <is>
          <t>HSSD Director</t>
        </is>
      </c>
      <c r="D8" s="2" t="inlineStr">
        <is>
          <t>Request cooperation from SDHC and authorized HMIS stewards.</t>
        </is>
      </c>
      <c r="E8" s="2" t="inlineStr">
        <is>
          <t>Seek scope by + 30; available reconciliation/limits + 60.</t>
        </is>
      </c>
      <c r="F8" s="2" t="inlineStr">
        <is>
          <t>Only aggregate seeker and referral figures acquired.</t>
        </is>
      </c>
      <c r="G8" s="2" t="inlineStr">
        <is>
          <t>Retain the 60.2% lower bound; do not call it an observed unique denial rate.</t>
        </is>
      </c>
      <c r="H8" s="2" t="inlineStr">
        <is>
          <t>["O46", "UCSD26S"]</t>
        </is>
      </c>
      <c r="I8" s="2" t="inlineStr">
        <is>
          <t>Outcome interpretation</t>
        </is>
      </c>
    </row>
    <row r="9" ht="30" customHeight="1">
      <c r="A9" s="3" t="inlineStr">
        <is>
          <t>R08</t>
        </is>
      </c>
      <c r="B9" s="3" t="inlineStr">
        <is>
          <t>HCD period/cohort/stage reconciliation, grant-spending bridge and available follow-up; nonidentifying public response.</t>
        </is>
      </c>
      <c r="C9" s="3" t="inlineStr">
        <is>
          <t>HSSD Director as City liaison</t>
        </is>
      </c>
      <c r="D9" s="3" t="inlineStr">
        <is>
          <t>Request HCD grant-program lead and grantee cooperation; HCD retains its own authority.</t>
        </is>
      </c>
      <c r="E9" s="3" t="inlineStr">
        <is>
          <t>Suggested HCD response within 60 days of receipt; not a statutory duty.</t>
        </is>
      </c>
      <c r="F9" s="3" t="inlineStr">
        <is>
          <t>No request submitted; periods/overlap remain unreconciled.</t>
        </is>
      </c>
      <c r="G9" s="3" t="inlineStr">
        <is>
          <t>Do not sum stages into unique people or calculate a retained-housing cost from unmatched cohorts.</t>
        </is>
      </c>
      <c r="H9" s="3" t="inlineStr">
        <is>
          <t>["HC01", "HC02", "HCD26"]</t>
        </is>
      </c>
      <c r="I9" s="3" t="inlineStr">
        <is>
          <t>Grant clarification</t>
        </is>
      </c>
    </row>
    <row r="10" ht="40.5" customHeight="1">
      <c r="A10" s="2" t="inlineStr">
        <is>
          <t>R09</t>
        </is>
      </c>
      <c r="B10" s="2" t="inlineStr">
        <is>
          <t>HHAP obligation/payment/balance bridge for the $11,319,651 variance and the separate $2,332 HSSD table difference.</t>
        </is>
      </c>
      <c r="C10" s="2" t="inlineStr">
        <is>
          <t>CFO</t>
        </is>
      </c>
      <c r="D10" s="2" t="inlineStr">
        <is>
          <t>HSSD; Finance; grant administrators.</t>
        </is>
      </c>
      <c r="E10" s="2" t="inlineStr">
        <is>
          <t>Seek explanation in Day 60 return; needed before citing any amount as available funding.</t>
        </is>
      </c>
      <c r="F10" s="2" t="inlineStr">
        <is>
          <t>December 31 cumulative Rounds 1–5 baseline acquired; June 30 FY2026 variance remains unreconciled. Round 6, receipts and later obligations need a separate bridge.</t>
        </is>
      </c>
      <c r="G10" s="2" t="inlineStr">
        <is>
          <t>No unrestricted balance or new funding source established.</t>
        </is>
      </c>
      <c r="H10" s="2" t="inlineStr">
        <is>
          <t>["BK08", "DR18"]</t>
        </is>
      </c>
      <c r="I10" s="2" t="inlineStr">
        <is>
          <t>Separate financial reconciliation</t>
        </is>
      </c>
    </row>
    <row r="11" ht="61.49999999999999" customHeight="1">
      <c r="A11" s="3" t="inlineStr">
        <is>
          <t>R10</t>
        </is>
      </c>
      <c r="B11" s="3" t="inlineStr">
        <is>
          <t>November crew/time and fleet records, version changes, approvals, AP posting, later adjustments and vendor explanation.</t>
        </is>
      </c>
      <c r="C11" s="3" t="inlineStr">
        <is>
          <t>ESD Director</t>
        </is>
      </c>
      <c r="D11" s="3" t="inlineStr">
        <is>
          <t>Finance; vendor; CFO for posting confirmation.</t>
        </is>
      </c>
      <c r="E11" s="3" t="inlineStr">
        <is>
          <t>Proposed Day 60 explanation or dated outstanding-item entry.</t>
        </is>
      </c>
      <c r="F11" s="3" t="inlineStr">
        <is>
          <t>Native versions and AP-matched invoice acquired; labor and vehicle subtotals include other crews. Released PDF uses 184 stakebed hours; earlier native file uses 144. Written revision/approval rationale not acquired; no request or vendor response.</t>
        </is>
      </c>
      <c r="G11" s="3" t="inlineStr">
        <is>
          <t>Verify time, fleet, rates and approvals. Neither labor nor vehicle arithmetic establishes an amount owed or misconduct.</t>
        </is>
      </c>
      <c r="H11" s="3" t="inlineStr">
        <is>
          <t>["BNR56369076", "DR13", "DR14", "ABNR56369072"]</t>
        </is>
      </c>
      <c r="I11" s="3" t="inlineStr">
        <is>
          <t>Invoice clarification</t>
        </is>
      </c>
    </row>
  </sheetData>
  <autoFilter ref="A1:I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100" customWidth="1" min="3" max="3"/>
    <col width="100" customWidth="1" min="4" max="4"/>
  </cols>
  <sheetData>
    <row r="1" ht="30" customHeight="1">
      <c r="A1" s="1" t="inlineStr">
        <is>
          <t>Source</t>
        </is>
      </c>
      <c r="B1" s="1" t="inlineStr">
        <is>
          <t>Cell / measure</t>
        </is>
      </c>
      <c r="C1" s="1" t="inlineStr">
        <is>
          <t>Retained value</t>
        </is>
      </c>
      <c r="D1" s="1" t="inlineStr">
        <is>
          <t>Interpretation</t>
        </is>
      </c>
    </row>
    <row r="2" ht="30" customHeight="1">
      <c r="A2" s="2" t="inlineStr">
        <is>
          <t>DR13</t>
        </is>
      </c>
      <c r="B2" s="2" t="inlineStr">
        <is>
          <t>document_id</t>
        </is>
      </c>
      <c r="C2" s="2" t="n">
        <v>56369065</v>
      </c>
      <c r="D2" s="2" t="inlineStr">
        <is>
          <t>Native formulas/caches; no established payable adjustment.</t>
        </is>
      </c>
    </row>
    <row r="3" ht="30" customHeight="1">
      <c r="A3" s="3" t="inlineStr">
        <is>
          <t>DR13</t>
        </is>
      </c>
      <c r="B3" s="3" t="inlineStr">
        <is>
          <t>formula_E23</t>
        </is>
      </c>
      <c r="C3" s="3">
        <f>SUBTOTAL(9,E5:E22)</f>
        <v/>
      </c>
      <c r="D3" s="3" t="inlineStr">
        <is>
          <t>Native formulas/caches; no established payable adjustment.</t>
        </is>
      </c>
    </row>
    <row r="4" ht="30" customHeight="1">
      <c r="A4" s="2" t="inlineStr">
        <is>
          <t>DR13</t>
        </is>
      </c>
      <c r="B4" s="2" t="inlineStr">
        <is>
          <t>formula_F23</t>
        </is>
      </c>
      <c r="C4" s="2">
        <f>SUBTOTAL(9,F5:F22)</f>
        <v/>
      </c>
      <c r="D4" s="2" t="inlineStr">
        <is>
          <t>Native formulas/caches; no established payable adjustment.</t>
        </is>
      </c>
    </row>
    <row r="5" ht="30" customHeight="1">
      <c r="A5" s="3" t="inlineStr">
        <is>
          <t>DR13</t>
        </is>
      </c>
      <c r="B5" s="3" t="inlineStr">
        <is>
          <t>cached_D23</t>
        </is>
      </c>
      <c r="C5" s="3" t="n">
        <v>880</v>
      </c>
      <c r="D5" s="3" t="inlineStr">
        <is>
          <t>Native formulas/caches; no established payable adjustment.</t>
        </is>
      </c>
    </row>
    <row r="6" ht="30" customHeight="1">
      <c r="A6" s="2" t="inlineStr">
        <is>
          <t>DR13</t>
        </is>
      </c>
      <c r="B6" s="2" t="inlineStr">
        <is>
          <t>cached_E23</t>
        </is>
      </c>
      <c r="C6" s="2" t="n">
        <v>344</v>
      </c>
      <c r="D6" s="2" t="inlineStr">
        <is>
          <t>Native formulas/caches; no established payable adjustment.</t>
        </is>
      </c>
    </row>
    <row r="7" ht="30" customHeight="1">
      <c r="A7" s="3" t="inlineStr">
        <is>
          <t>DR13</t>
        </is>
      </c>
      <c r="B7" s="3" t="inlineStr">
        <is>
          <t>cached_F23</t>
        </is>
      </c>
      <c r="C7" s="3" t="n">
        <v>37870</v>
      </c>
      <c r="D7" s="3" t="inlineStr">
        <is>
          <t>Native formulas/caches; no established payable adjustment.</t>
        </is>
      </c>
    </row>
    <row r="8" ht="30" customHeight="1">
      <c r="A8" s="2" t="inlineStr">
        <is>
          <t>DR13</t>
        </is>
      </c>
      <c r="B8" s="2" t="inlineStr">
        <is>
          <t>numeric_cells_E5_E22</t>
        </is>
      </c>
      <c r="C8" s="2" t="inlineStr">
        <is>
          <t>[{"cell": "E18", "value": 40}, {"cell": "E19", "value": 160}, {"cell": "E20", "value": 144}]</t>
        </is>
      </c>
      <c r="D8" s="2" t="inlineStr">
        <is>
          <t>Native formulas/caches; no established payable adjustment.</t>
        </is>
      </c>
    </row>
    <row r="9" ht="30" customHeight="1">
      <c r="A9" s="3" t="inlineStr">
        <is>
          <t>DR13</t>
        </is>
      </c>
      <c r="B9" s="3" t="inlineStr">
        <is>
          <t>nonzero_numeric_cells_F5_F22</t>
        </is>
      </c>
      <c r="C9" s="3" t="inlineStr">
        <is>
          <t>[{"cell": "F19", "value": 19150}, {"cell": "F20", "value": 18720}]</t>
        </is>
      </c>
      <c r="D9" s="3" t="inlineStr">
        <is>
          <t>Native formulas/caches; no established payable adjustment.</t>
        </is>
      </c>
    </row>
    <row r="10" ht="30" customHeight="1">
      <c r="A10" s="2" t="inlineStr">
        <is>
          <t>DR13</t>
        </is>
      </c>
      <c r="B10" s="2" t="inlineStr">
        <is>
          <t>formula_J23</t>
        </is>
      </c>
      <c r="C10" s="2">
        <f>SUBTOTAL(9,J5:J22)</f>
        <v/>
      </c>
      <c r="D10" s="2" t="inlineStr">
        <is>
          <t>Native formulas/caches; no established payable adjustment.</t>
        </is>
      </c>
    </row>
    <row r="11" ht="30" customHeight="1">
      <c r="A11" s="3" t="inlineStr">
        <is>
          <t>DR13</t>
        </is>
      </c>
      <c r="B11" s="3" t="inlineStr">
        <is>
          <t>cached_J23</t>
        </is>
      </c>
      <c r="C11" s="3" t="n">
        <v>9120</v>
      </c>
      <c r="D11" s="3" t="inlineStr">
        <is>
          <t>Native formulas/caches; no established payable adjustment.</t>
        </is>
      </c>
    </row>
    <row r="12" ht="30" customHeight="1">
      <c r="A12" s="2" t="inlineStr">
        <is>
          <t>DR13</t>
        </is>
      </c>
      <c r="B12" s="2" t="inlineStr">
        <is>
          <t>nonzero_numeric_cells_J5_J22</t>
        </is>
      </c>
      <c r="C12" s="2" t="inlineStr">
        <is>
          <t>[{"cell": "J19", "value": 4800}, {"cell": "J20", "value": 4320}]</t>
        </is>
      </c>
      <c r="D12" s="2" t="inlineStr">
        <is>
          <t>Native formulas/caches; no established payable adjustment.</t>
        </is>
      </c>
    </row>
    <row r="13" ht="30" customHeight="1">
      <c r="A13" s="3" t="inlineStr">
        <is>
          <t>DR13</t>
        </is>
      </c>
      <c r="B13" s="3" t="inlineStr">
        <is>
          <t>western_components</t>
        </is>
      </c>
      <c r="C13" s="3" t="inlineStr">
        <is>
          <t>{"F": "37870", "G": "1753.75", "J": "9120", "K": "3679.05"}</t>
        </is>
      </c>
      <c r="D13" s="3" t="inlineStr">
        <is>
          <t>Native formulas/caches; no established payable adjustment.</t>
        </is>
      </c>
    </row>
    <row r="14" ht="30" customHeight="1">
      <c r="A14" s="2" t="inlineStr">
        <is>
          <t>DR13</t>
        </is>
      </c>
      <c r="B14" s="2" t="inlineStr">
        <is>
          <t>monthly_components</t>
        </is>
      </c>
      <c r="C14" s="2" t="inlineStr">
        <is>
          <t>{"F": "189180", "G": "8561.75", "J": "32112", "K": "12333.1"}</t>
        </is>
      </c>
      <c r="D14" s="2" t="inlineStr">
        <is>
          <t>Native formulas/caches; no established payable adjustment.</t>
        </is>
      </c>
    </row>
    <row r="15" ht="30" customHeight="1">
      <c r="A15" s="3" t="inlineStr">
        <is>
          <t>DR13</t>
        </is>
      </c>
      <c r="B15" s="3" t="inlineStr">
        <is>
          <t>detail_CM_E45_E80</t>
        </is>
      </c>
      <c r="C15" s="3" t="inlineStr">
        <is>
          <t>880</t>
        </is>
      </c>
      <c r="D15" s="3" t="inlineStr">
        <is>
          <t>Native formulas/caches; no established payable adjustment.</t>
        </is>
      </c>
    </row>
    <row r="16" ht="30" customHeight="1">
      <c r="A16" s="2" t="inlineStr">
        <is>
          <t>DR13</t>
        </is>
      </c>
      <c r="B16" s="2" t="inlineStr">
        <is>
          <t>detail_supervisor_F45_F80</t>
        </is>
      </c>
      <c r="C16" s="2" t="inlineStr">
        <is>
          <t>304</t>
        </is>
      </c>
      <c r="D16" s="2" t="inlineStr">
        <is>
          <t>Native formulas/caches; no established payable adjustment.</t>
        </is>
      </c>
    </row>
    <row r="17" ht="30" customHeight="1">
      <c r="A17" s="3" t="inlineStr">
        <is>
          <t>DR13</t>
        </is>
      </c>
      <c r="B17" s="3" t="inlineStr">
        <is>
          <t>labor_at_summary_rates</t>
        </is>
      </c>
      <c r="C17" s="3" t="inlineStr">
        <is>
          <t>38560</t>
        </is>
      </c>
      <c r="D17" s="3" t="inlineStr">
        <is>
          <t>Native formulas/caches; no established payable adjustment.</t>
        </is>
      </c>
    </row>
    <row r="18" ht="30" customHeight="1">
      <c r="A18" s="2" t="inlineStr">
        <is>
          <t>DR13</t>
        </is>
      </c>
      <c r="B18" s="2" t="inlineStr">
        <is>
          <t>month_total_M37</t>
        </is>
      </c>
      <c r="C18" s="2" t="n">
        <v>242186.85</v>
      </c>
      <c r="D18" s="2" t="inlineStr">
        <is>
          <t>Native formulas/caches; no established payable adjustment.</t>
        </is>
      </c>
    </row>
    <row r="19" ht="30" customHeight="1">
      <c r="A19" s="3" t="inlineStr">
        <is>
          <t>DR14</t>
        </is>
      </c>
      <c r="B19" s="3" t="inlineStr">
        <is>
          <t>document_id</t>
        </is>
      </c>
      <c r="C19" s="3" t="n">
        <v>56369066</v>
      </c>
      <c r="D19" s="3" t="inlineStr">
        <is>
          <t>Native formulas/caches; no established payable adjustment.</t>
        </is>
      </c>
    </row>
    <row r="20" ht="30" customHeight="1">
      <c r="A20" s="2" t="inlineStr">
        <is>
          <t>DR14</t>
        </is>
      </c>
      <c r="B20" s="2" t="inlineStr">
        <is>
          <t>formula_E23</t>
        </is>
      </c>
      <c r="C20" s="2">
        <f>'NOV 2024'!F81</f>
        <v/>
      </c>
      <c r="D20" s="2" t="inlineStr">
        <is>
          <t>Native formulas/caches; no established payable adjustment.</t>
        </is>
      </c>
    </row>
    <row r="21" ht="30" customHeight="1">
      <c r="A21" s="3" t="inlineStr">
        <is>
          <t>DR14</t>
        </is>
      </c>
      <c r="B21" s="3" t="inlineStr">
        <is>
          <t>formula_F23</t>
        </is>
      </c>
      <c r="C21" s="3">
        <f>D23*30+E23*40</f>
        <v/>
      </c>
      <c r="D21" s="3" t="inlineStr">
        <is>
          <t>Native formulas/caches; no established payable adjustment.</t>
        </is>
      </c>
    </row>
    <row r="22" ht="30" customHeight="1">
      <c r="A22" s="2" t="inlineStr">
        <is>
          <t>DR14</t>
        </is>
      </c>
      <c r="B22" s="2" t="inlineStr">
        <is>
          <t>cached_D23</t>
        </is>
      </c>
      <c r="C22" s="2" t="n">
        <v>880</v>
      </c>
      <c r="D22" s="2" t="inlineStr">
        <is>
          <t>Native formulas/caches; no established payable adjustment.</t>
        </is>
      </c>
    </row>
    <row r="23" ht="30" customHeight="1">
      <c r="A23" s="3" t="inlineStr">
        <is>
          <t>DR14</t>
        </is>
      </c>
      <c r="B23" s="3" t="inlineStr">
        <is>
          <t>cached_E23</t>
        </is>
      </c>
      <c r="C23" s="3" t="n">
        <v>304</v>
      </c>
      <c r="D23" s="3" t="inlineStr">
        <is>
          <t>Native formulas/caches; no established payable adjustment.</t>
        </is>
      </c>
    </row>
    <row r="24" ht="30" customHeight="1">
      <c r="A24" s="2" t="inlineStr">
        <is>
          <t>DR14</t>
        </is>
      </c>
      <c r="B24" s="2" t="inlineStr">
        <is>
          <t>cached_F23</t>
        </is>
      </c>
      <c r="C24" s="2" t="n">
        <v>38560</v>
      </c>
      <c r="D24" s="2" t="inlineStr">
        <is>
          <t>Native formulas/caches; no established payable adjustment.</t>
        </is>
      </c>
    </row>
    <row r="25" ht="30" customHeight="1">
      <c r="A25" s="3" t="inlineStr">
        <is>
          <t>DR14</t>
        </is>
      </c>
      <c r="B25" s="3" t="inlineStr">
        <is>
          <t>numeric_cells_E5_E22</t>
        </is>
      </c>
      <c r="C25" s="3" t="inlineStr">
        <is>
          <t>[{"cell": "E18", "value": 40}, {"cell": "E19", "value": 152}, {"cell": "E20", "value": 144}]</t>
        </is>
      </c>
      <c r="D25" s="3" t="inlineStr">
        <is>
          <t>Native formulas/caches; no established payable adjustment.</t>
        </is>
      </c>
    </row>
    <row r="26" ht="30" customHeight="1">
      <c r="A26" s="2" t="inlineStr">
        <is>
          <t>DR14</t>
        </is>
      </c>
      <c r="B26" s="2" t="inlineStr">
        <is>
          <t>nonzero_numeric_cells_F5_F22</t>
        </is>
      </c>
      <c r="C26" s="2" t="inlineStr">
        <is>
          <t>[{"cell": "F19", "value": 18110}, {"cell": "F20", "value": 18720}]</t>
        </is>
      </c>
      <c r="D26" s="2" t="inlineStr">
        <is>
          <t>Native formulas/caches; no established payable adjustment.</t>
        </is>
      </c>
    </row>
    <row r="27" ht="30" customHeight="1">
      <c r="A27" s="3" t="inlineStr">
        <is>
          <t>DR14</t>
        </is>
      </c>
      <c r="B27" s="3" t="inlineStr">
        <is>
          <t>formula_J23</t>
        </is>
      </c>
      <c r="C27" s="3">
        <f>H23*30+I23*12</f>
        <v/>
      </c>
      <c r="D27" s="3" t="inlineStr">
        <is>
          <t>Native formulas/caches; no established payable adjustment.</t>
        </is>
      </c>
    </row>
    <row r="28" ht="30" customHeight="1">
      <c r="A28" s="2" t="inlineStr">
        <is>
          <t>DR14</t>
        </is>
      </c>
      <c r="B28" s="2" t="inlineStr">
        <is>
          <t>cached_J23</t>
        </is>
      </c>
      <c r="C28" s="2" t="n">
        <v>6528</v>
      </c>
      <c r="D28" s="2" t="inlineStr">
        <is>
          <t>Native formulas/caches; no established payable adjustment.</t>
        </is>
      </c>
    </row>
    <row r="29" ht="30" customHeight="1">
      <c r="A29" s="3" t="inlineStr">
        <is>
          <t>DR14</t>
        </is>
      </c>
      <c r="B29" s="3" t="inlineStr">
        <is>
          <t>nonzero_numeric_cells_J5_J22</t>
        </is>
      </c>
      <c r="C29" s="3" t="inlineStr">
        <is>
          <t>[{"cell": "J19", "value": 4560}, {"cell": "J20", "value": 4320}]</t>
        </is>
      </c>
      <c r="D29" s="3" t="inlineStr">
        <is>
          <t>Native formulas/caches; no established payable adjustment.</t>
        </is>
      </c>
    </row>
    <row r="30" ht="30" customHeight="1">
      <c r="A30" s="2" t="inlineStr">
        <is>
          <t>DR14</t>
        </is>
      </c>
      <c r="B30" s="2" t="inlineStr">
        <is>
          <t>western_components</t>
        </is>
      </c>
      <c r="C30" s="2" t="inlineStr">
        <is>
          <t>{"F": "38560", "G": "1748", "J": "6528", "K": "3666"}</t>
        </is>
      </c>
      <c r="D30" s="2" t="inlineStr">
        <is>
          <t>Native formulas/caches; no established payable adjustment.</t>
        </is>
      </c>
    </row>
    <row r="31" ht="30" customHeight="1">
      <c r="A31" s="3" t="inlineStr">
        <is>
          <t>DR14</t>
        </is>
      </c>
      <c r="B31" s="3" t="inlineStr">
        <is>
          <t>monthly_components</t>
        </is>
      </c>
      <c r="C31" s="3" t="inlineStr">
        <is>
          <t>{"F": "188830", "G": "8510", "J": "29280", "K": "11953.05"}</t>
        </is>
      </c>
      <c r="D31" s="3" t="inlineStr">
        <is>
          <t>Native formulas/caches; no established payable adjustment.</t>
        </is>
      </c>
    </row>
    <row r="32" ht="30" customHeight="1">
      <c r="A32" s="2" t="inlineStr">
        <is>
          <t>DR14</t>
        </is>
      </c>
      <c r="B32" s="2" t="inlineStr">
        <is>
          <t>detail_CM_E45_E80</t>
        </is>
      </c>
      <c r="C32" s="2" t="inlineStr">
        <is>
          <t>880</t>
        </is>
      </c>
      <c r="D32" s="2" t="inlineStr">
        <is>
          <t>Native formulas/caches; no established payable adjustment.</t>
        </is>
      </c>
    </row>
    <row r="33" ht="30" customHeight="1">
      <c r="A33" s="3" t="inlineStr">
        <is>
          <t>DR14</t>
        </is>
      </c>
      <c r="B33" s="3" t="inlineStr">
        <is>
          <t>detail_supervisor_F45_F80</t>
        </is>
      </c>
      <c r="C33" s="3" t="inlineStr">
        <is>
          <t>304</t>
        </is>
      </c>
      <c r="D33" s="3" t="inlineStr">
        <is>
          <t>Native formulas/caches; no established payable adjustment.</t>
        </is>
      </c>
    </row>
    <row r="34" ht="30" customHeight="1">
      <c r="A34" s="2" t="inlineStr">
        <is>
          <t>DR14</t>
        </is>
      </c>
      <c r="B34" s="2" t="inlineStr">
        <is>
          <t>labor_at_summary_rates</t>
        </is>
      </c>
      <c r="C34" s="2" t="inlineStr">
        <is>
          <t>38560</t>
        </is>
      </c>
      <c r="D34" s="2" t="inlineStr">
        <is>
          <t>Native formulas/caches; no established payable adjustment.</t>
        </is>
      </c>
    </row>
    <row r="35" ht="30" customHeight="1">
      <c r="A35" s="3" t="inlineStr">
        <is>
          <t>DR14</t>
        </is>
      </c>
      <c r="B35" s="3" t="inlineStr">
        <is>
          <t>month_total_M37</t>
        </is>
      </c>
      <c r="C35" s="3" t="n">
        <v>238573.05</v>
      </c>
      <c r="D35" s="3" t="inlineStr">
        <is>
          <t>Native formulas/caches; no established payable adjustment.</t>
        </is>
      </c>
    </row>
  </sheetData>
  <autoFilter ref="A1:D3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20" customWidth="1" min="3" max="3"/>
    <col width="20" customWidth="1" min="4" max="4"/>
    <col width="20" customWidth="1" min="5" max="5"/>
    <col width="110" customWidth="1" min="6" max="6"/>
  </cols>
  <sheetData>
    <row r="1" ht="30" customHeight="1">
      <c r="A1" s="1" t="inlineStr">
        <is>
          <t>Case</t>
        </is>
      </c>
      <c r="B1" s="1" t="inlineStr">
        <is>
          <t>Definition</t>
        </is>
      </c>
      <c r="C1" s="1" t="inlineStr">
        <is>
          <t>Numerator</t>
        </is>
      </c>
      <c r="D1" s="1" t="inlineStr">
        <is>
          <t>Denominator</t>
        </is>
      </c>
      <c r="E1" s="1" t="inlineStr">
        <is>
          <t>Percent</t>
        </is>
      </c>
      <c r="F1" s="1" t="inlineStr">
        <is>
          <t>Meaning</t>
        </is>
      </c>
    </row>
    <row r="2" ht="30" customHeight="1">
      <c r="A2" s="2" t="inlineStr">
        <is>
          <t>AO01</t>
        </is>
      </c>
      <c r="B2" s="2" t="inlineStr">
        <is>
          <t>All permanent-situation exits / all exits</t>
        </is>
      </c>
      <c r="C2" s="2" t="n">
        <v>466</v>
      </c>
      <c r="D2" s="2" t="n">
        <v>3899</v>
      </c>
      <c r="E2" s="2" t="n">
        <v>11.95178250833547</v>
      </c>
      <c r="F2" s="2" t="inlineStr">
        <is>
          <t>11.95% recorded permanent destinations; includes 65 permanent family/friend destinations; no retention measured.</t>
        </is>
      </c>
    </row>
    <row r="3" ht="30" customHeight="1">
      <c r="A3" s="3" t="inlineStr">
        <is>
          <t>AO02</t>
        </is>
      </c>
      <c r="B3" s="3" t="inlineStr">
        <is>
          <t>Rental or owned destinations / all exits</t>
        </is>
      </c>
      <c r="C3" s="3" t="n">
        <v>401</v>
      </c>
      <c r="D3" s="3" t="n">
        <v>3899</v>
      </c>
      <c r="E3" s="3" t="n">
        <v>10.28468838163632</v>
      </c>
      <c r="F3" s="3" t="inlineStr">
        <is>
          <t>10.28% under a narrower residence definition; this does not disqualify permanent family/friend placements.</t>
        </is>
      </c>
    </row>
    <row r="4" ht="30" customHeight="1">
      <c r="A4" s="2" t="inlineStr">
        <is>
          <t>AO03</t>
        </is>
      </c>
      <c r="B4" s="2" t="inlineStr">
        <is>
          <t>Permanent destinations / exits excluding no interview</t>
        </is>
      </c>
      <c r="C4" s="2" t="n">
        <v>466</v>
      </c>
      <c r="D4" s="2" t="n">
        <v>1617</v>
      </c>
      <c r="E4" s="2" t="n">
        <v>28.81880024737168</v>
      </c>
      <c r="F4" s="2" t="inlineStr">
        <is>
          <t>28.82% conditional on an interview; selection can inflate the apparent rate. Other unknowns remain.</t>
        </is>
      </c>
    </row>
    <row r="5" ht="30" customHeight="1">
      <c r="A5" s="3" t="inlineStr">
        <is>
          <t>AO04</t>
        </is>
      </c>
      <c r="B5" s="3" t="inlineStr">
        <is>
          <t>Permanent destinations / exits excluding all three missing categories</t>
        </is>
      </c>
      <c r="C5" s="3" t="n">
        <v>466</v>
      </c>
      <c r="D5" s="3" t="n">
        <v>1605</v>
      </c>
      <c r="E5" s="3" t="n">
        <v>29.03426791277259</v>
      </c>
      <c r="F5" s="3" t="inlineStr">
        <is>
          <t>29.03% after also excluding 4 unknown/refused and 8 uncollected destinations; not an unbiased cohort estimate.</t>
        </is>
      </c>
    </row>
    <row r="6" ht="30" customHeight="1">
      <c r="A6" s="2" t="inlineStr">
        <is>
          <t>AO05</t>
        </is>
      </c>
      <c r="B6" s="2" t="inlineStr">
        <is>
          <t>Extreme assumption: every no-interview exit permanent</t>
        </is>
      </c>
      <c r="C6" s="2" t="n">
        <v>2748</v>
      </c>
      <c r="D6" s="2" t="n">
        <v>3899</v>
      </c>
      <c r="E6" s="2" t="n">
        <v>70.47961015645036</v>
      </c>
      <c r="F6" s="2" t="inlineStr">
        <is>
          <t>70.48% arithmetic sensitivity ceiling for this missing category, not an estimate or a full missing-data bound.</t>
        </is>
      </c>
    </row>
    <row r="7" ht="30" customHeight="1">
      <c r="A7" s="3" t="inlineStr">
        <is>
          <t>AO06</t>
        </is>
      </c>
      <c r="B7" s="3" t="inlineStr">
        <is>
          <t>APR published positive-destination metric</t>
        </is>
      </c>
      <c r="C7" s="3" t="n">
        <v>1035</v>
      </c>
      <c r="D7" s="3" t="n">
        <v>3876</v>
      </c>
      <c r="E7" s="3" t="n">
        <v>26.70278637770897</v>
      </c>
      <c r="F7" s="3" t="inlineStr">
        <is>
          <t>26.70%; broader than permanent housing. Uses the APR exclusions; not comparable to AO01.</t>
        </is>
      </c>
    </row>
    <row r="8" ht="30" customHeight="1">
      <c r="A8" s="2" t="inlineStr">
        <is>
          <t>AO07</t>
        </is>
      </c>
      <c r="B8" s="2" t="inlineStr">
        <is>
          <t>No exit interview / all exits</t>
        </is>
      </c>
      <c r="C8" s="2" t="n">
        <v>2282</v>
      </c>
      <c r="D8" s="2" t="n">
        <v>3899</v>
      </c>
      <c r="E8" s="2" t="n">
        <v>58.52782764811491</v>
      </c>
      <c r="F8" s="2" t="inlineStr">
        <is>
          <t>58.53% lack an exit interview. Unknown is neither a housing success nor proof of continuing homelessness.</t>
        </is>
      </c>
    </row>
    <row r="9" ht="30" customHeight="1">
      <c r="A9" s="3" t="inlineStr">
        <is>
          <t>AO08</t>
        </is>
      </c>
      <c r="B9" s="3" t="inlineStr">
        <is>
          <t>Exclude pooled-project comparisons</t>
        </is>
      </c>
      <c r="C9" s="3" t="n"/>
      <c r="D9" s="3" t="n"/>
      <c r="E9" s="3" t="n"/>
      <c r="F9" s="3" t="inlineStr">
        <is>
          <t>No City Net-only rate, Caltrans-only rate or cost per outcome survives; provider comparisons are excluded.</t>
        </is>
      </c>
    </row>
    <row r="10" ht="30" customHeight="1">
      <c r="A10" s="2" t="inlineStr">
        <is>
          <t>AO09</t>
        </is>
      </c>
      <c r="B10" s="2" t="inlineStr">
        <is>
          <t>Require verified 30/90-day permanent-housing retention</t>
        </is>
      </c>
      <c r="C10" s="2" t="n"/>
      <c r="D10" s="2" t="n"/>
      <c r="E10" s="2" t="n"/>
      <c r="F10" s="2" t="inlineStr">
        <is>
          <t>No retained-housing rate can be calculated from this APR or the acquired East Village summaries.</t>
        </is>
      </c>
    </row>
  </sheetData>
  <autoFilter ref="A1:F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00" customWidth="1" min="3" max="3"/>
    <col width="100" customWidth="1" min="4" max="4"/>
    <col width="100" customWidth="1" min="5" max="5"/>
    <col width="100" customWidth="1" min="6" max="6"/>
  </cols>
  <sheetData>
    <row r="1" ht="30" customHeight="1">
      <c r="A1" s="1" t="inlineStr">
        <is>
          <t>ID</t>
        </is>
      </c>
      <c r="B1" s="1" t="inlineStr">
        <is>
          <t>Detail tested</t>
        </is>
      </c>
      <c r="C1" s="1" t="inlineStr">
        <is>
          <t>Finding</t>
        </is>
      </c>
      <c r="D1" s="1" t="inlineStr">
        <is>
          <t>Consequence</t>
        </is>
      </c>
      <c r="E1" s="1" t="inlineStr">
        <is>
          <t>What remains unproved</t>
        </is>
      </c>
      <c r="F1" s="1" t="inlineStr">
        <is>
          <t>Source locators</t>
        </is>
      </c>
    </row>
    <row r="2" ht="36" customHeight="1">
      <c r="A2" s="2" t="inlineStr">
        <is>
          <t>CE01</t>
        </is>
      </c>
      <c r="B2" s="2" t="inlineStr">
        <is>
          <t>Whose experience was directly heard?</t>
        </is>
      </c>
      <c r="C2" s="2" t="inlineStr">
        <is>
          <t>The April 2026 audit says interviews with people who experienced homelessness were infeasible.</t>
        </is>
      </c>
      <c r="D2" s="2" t="inlineStr">
        <is>
          <t>A favorable operational conclusion does not resolve confidential participant experience. Add direct, accessible feedback and independent review.</t>
        </is>
      </c>
      <c r="E2" s="2" t="inlineStr">
        <is>
          <t>No inference that staff mistreated people or that all participant evidence was absent from every source.</t>
        </is>
      </c>
      <c r="F2" s="2" t="inlineStr">
        <is>
          <t>[{"source_id": "S01", "physical_pages": [58, 60]}]</t>
        </is>
      </c>
    </row>
    <row r="3" ht="30" customHeight="1">
      <c r="A3" s="3" t="inlineStr">
        <is>
          <t>CE02</t>
        </is>
      </c>
      <c r="B3" s="3" t="inlineStr">
        <is>
          <t>Coordination versus useful advance notice</t>
        </is>
      </c>
      <c r="C3" s="3" t="inlineStr">
        <is>
          <t>The audit observed coordinated operations and separately records providers asking for earlier abatement notice.</t>
        </is>
      </c>
      <c r="D3" s="3" t="inlineStr">
        <is>
          <t>Retain coordination benefits; require operation-specific notice and confirmed service ownership.</t>
        </is>
      </c>
      <c r="E3" s="3" t="inlineStr">
        <is>
          <t>No measured frequency of lost contact or proof that every operation overlapped outreach.</t>
        </is>
      </c>
      <c r="F3" s="3" t="inlineStr">
        <is>
          <t>[{"source_id": "S01", "physical_pages": [39, 45]}]</t>
        </is>
      </c>
    </row>
    <row r="4" ht="30" customHeight="1">
      <c r="A4" s="2" t="inlineStr">
        <is>
          <t>CE03</t>
        </is>
      </c>
      <c r="B4" s="2" t="inlineStr">
        <is>
          <t>What event stops the response clock?</t>
        </is>
      </c>
      <c r="C4" s="2" t="inlineStr">
        <is>
          <t>The audit clock includes report closure or referral. Parent-linked reports can close together.</t>
        </is>
      </c>
      <c r="D4" s="2" t="inlineStr">
        <is>
          <t>Faster administrative response cannot be used as a completed handoff or housing metric.</t>
        </is>
      </c>
      <c r="E4" s="2" t="inlineStr">
        <is>
          <t>Batch handling is a legitimate efficiency; no inflated-report or manipulation allegation.</t>
        </is>
      </c>
      <c r="F4" s="2" t="inlineStr">
        <is>
          <t>[{"source_id": "S01", "physical_pages": [42, 45]}]</t>
        </is>
      </c>
    </row>
    <row r="5" ht="48.75" customHeight="1">
      <c r="A5" s="3" t="inlineStr">
        <is>
          <t>CE04</t>
        </is>
      </c>
      <c r="B5" s="3" t="inlineStr">
        <is>
          <t>Informal outcome tracking and independent checks</t>
        </is>
      </c>
      <c r="C5" s="3" t="inlineStr">
        <is>
          <t>Reported refusals fell and stable placements rose; the later refusal window is incomplete. Verification sources did not exist for the audit’s remaining datasets; consistency tests were performed.</t>
        </is>
      </c>
      <c r="D5" s="3" t="inlineStr">
        <is>
          <t>Preserve reported improvement; request aligned counts, definitions and follow-up.</t>
        </is>
      </c>
      <c r="E5" s="3" t="inlineStr">
        <is>
          <t>This does not show the records are inaccurate and does not establish civilian superiority.</t>
        </is>
      </c>
      <c r="F5" s="3" t="inlineStr">
        <is>
          <t>[{"source_id": "S01", "physical_pages": [43, 44, 60]}]</t>
        </is>
      </c>
    </row>
    <row r="6" ht="48.5" customHeight="1">
      <c r="A6" s="2" t="inlineStr">
        <is>
          <t>CE05</t>
        </is>
      </c>
      <c r="B6" s="2" t="inlineStr">
        <is>
          <t>What the $17.6m scenario prices</t>
        </is>
      </c>
      <c r="C6" s="2" t="inlineStr">
        <is>
          <t>The study asks for broad PISO coverage and commanders’ civilian additions; displayed subtotals $9,648,054 and $7,964,066 sum to $17,612,120. Its table notes some positions may reflect vacancies.</t>
        </is>
      </c>
      <c r="D6" s="2" t="inlineStr">
        <is>
          <t>It warns against assuming civilian expansion funds itself; it does not price a narrow funded substitution.</t>
        </is>
      </c>
      <c r="E6" s="2" t="inlineStr">
        <is>
          <t>No cash saving, offset or additional-position count inferred from the displayed subtotals.</t>
        </is>
      </c>
      <c r="F6" s="2" t="inlineStr">
        <is>
          <t>[{"source_id": "BK22", "physical_pages": [1, 2]}, {"source_id": "BK23", "physical_pages": [8, 10]}]</t>
        </is>
      </c>
    </row>
    <row r="7" ht="30.5" customHeight="1">
      <c r="A7" s="3" t="inlineStr">
        <is>
          <t>CE06</t>
        </is>
      </c>
      <c r="B7" s="3" t="inlineStr">
        <is>
          <t>Existing civilian participation versus hypothetical replacement</t>
        </is>
      </c>
      <c r="C7" s="3" t="inlineStr">
        <is>
          <t>The audit reports SDPD’s account that senior volunteer patrols now check many remote report locations instead of officers.</t>
        </is>
      </c>
      <c r="D7" s="3" t="inlineStr">
        <is>
          <t>A local division-of-work precedent exists. Identify which tasks, controls and paid hours actually change.</t>
        </is>
      </c>
      <c r="E7" s="3" t="inlineStr">
        <is>
          <t>Volunteer checking is not clinical service, proof of a field-safety substitution or an isolated causal effect.</t>
        </is>
      </c>
      <c r="F7" s="3" t="inlineStr">
        <is>
          <t>[{"source_id": "S01", "physical_pages": [42, 43]}]</t>
        </is>
      </c>
    </row>
    <row r="8" ht="67.5" customHeight="1">
      <c r="A8" s="2" t="inlineStr">
        <is>
          <t>CE07</t>
        </is>
      </c>
      <c r="B8" s="2" t="inlineStr">
        <is>
          <t>Code definition, number and organizational owner</t>
        </is>
      </c>
      <c r="C8" s="2" t="inlineStr">
        <is>
          <t>The January 21, 2025 bulletin retains some order numbers while changing names, narrows extension of shift, and directs overtime to the working/controlling command. NPD General Fund is 11003903; CleanSD is 11004334. Reports extension 11003715 is not a dedicated GID code.</t>
        </is>
      </c>
      <c r="D8" s="2" t="inlineStr">
        <is>
          <t>Join assignment, cost object, time category and payment; map old/new definitions before comparing trends or making a funding claim.</t>
        </is>
      </c>
      <c r="E8" s="2" t="inlineStr">
        <is>
          <t>No matched payroll series was acquired; recoding, undercounting or savings are risks to test, not observed findings.</t>
        </is>
      </c>
      <c r="F8" s="2" t="inlineStr">
        <is>
          <t>[{"source_id": "BK06", "physical_pages": [1, 2, 3, 4, 5, 9, 10]}]</t>
        </is>
      </c>
    </row>
    <row r="9" ht="30" customHeight="1">
      <c r="A9" s="3" t="inlineStr">
        <is>
          <t>CE08</t>
        </is>
      </c>
      <c r="B9" s="3" t="inlineStr">
        <is>
          <t>Reassigned overtime is not cancelled overtime</t>
        </is>
      </c>
      <c r="C9" s="3" t="inlineStr">
        <is>
          <t>SDPD told the audit that officers on overtime formerly monitoring storage were repurposed to public-space assignments.</t>
        </is>
      </c>
      <c r="D9" s="3" t="inlineStr">
        <is>
          <t>Require proof of an expenditure that actually ceases, beyond useful sworn capacity released.</t>
        </is>
      </c>
      <c r="E9" s="3" t="inlineStr">
        <is>
          <t>This does not identify the amount, exact cost objects or a removable balance.</t>
        </is>
      </c>
      <c r="F9" s="3" t="inlineStr">
        <is>
          <t>[{"source_id": "S01", "physical_pages": [42]}, {"source_id": "BK06", "physical_pages": [1, 2, 3, 4, 5, 10]}]</t>
        </is>
      </c>
    </row>
    <row r="10" ht="36" customHeight="1">
      <c r="A10" s="2" t="inlineStr">
        <is>
          <t>CE09</t>
        </is>
      </c>
      <c r="B10" s="2" t="inlineStr">
        <is>
          <t>Existing participant feedback and the missing denominator</t>
        </is>
      </c>
      <c r="C10" s="2" t="inlineStr">
        <is>
          <t>UC San Diego documents SDHC’s feedback kiosks, 2025 shelter consultation and uncertainty about feedback use/coverage.</t>
        </is>
      </c>
      <c r="D10" s="2" t="inlineStr">
        <is>
          <t>Reuse existing feedback and grievance channels, obtain invitation/response coverage and corrective actions, and include people outside shelters.</t>
        </is>
      </c>
      <c r="E10" s="2" t="inlineStr">
        <is>
          <t>The raw feedback export was not acquired. Neither systematic mistreatment nor universal good experience is measured here.</t>
        </is>
      </c>
      <c r="F10" s="2" t="inlineStr">
        <is>
          <t>[{"source_id": "UCSD26G", "physical_pages": [13, 14]}]</t>
        </is>
      </c>
    </row>
    <row r="11" ht="78" customHeight="1">
      <c r="A11" s="3" t="inlineStr">
        <is>
          <t>CE10</t>
        </is>
      </c>
      <c r="B11" s="3" t="inlineStr">
        <is>
          <t>Placements, known exits, all clients and retention are different</t>
        </is>
      </c>
      <c r="C11" s="3" t="inlineStr">
        <is>
          <t>The June 2026 countywide study has 41,890 people and 85,515 stays, about 30% missing exit destinations, and 31% permanent destinations among known most-recent exits. A separate annual all-client measure is 21% permanent exits. Its HMIS explanation describes providers documenting where clients plan to stay next.</t>
        </is>
      </c>
      <c r="D11" s="3" t="inlineStr">
        <is>
          <t>Retain genuine housing progress; keep missingness visible and distinguish region/period/cohort. Require matured retention separately.</t>
        </is>
      </c>
      <c r="E11" s="3" t="inlineStr">
        <is>
          <t>The field does not itself verify arrival or retention. This is descriptive HMIS analysis, not a City-only rate, current forecast or staffing comparison.</t>
        </is>
      </c>
      <c r="F11" s="3" t="inlineStr">
        <is>
          <t>[{"source_id": "UCSD26S", "physical_pages": [1, 4, 6, 7, 20, 21, 25]}]</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2026-10-16T08:10:33Z</dcterms:created>
  <dcterms:modified xmlns:dcterms="http://purl.org/dc/terms/" xmlns:xsi="http://www.w3.org/2001/XMLSchema-instance" xsi:type="dcterms:W3CDTF">2026-10-19T10:28:53Z</dcterms:modified>
</cp:coreProperties>
</file>